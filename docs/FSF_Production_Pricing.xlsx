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puts" sheetId="1" state="visible" r:id="rId3"/>
    <sheet name="Hoodies" sheetId="2" state="visible" r:id="rId4"/>
    <sheet name="Bottoms" sheetId="3" state="visible" r:id="rId5"/>
    <sheet name="Tees" sheetId="4" state="visible" r:id="rId6"/>
    <sheet name="Track"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Which column of the Wash / Finish table this style uses. Must match a group name in the wash table header.</t>
        </r>
      </text>
    </comment>
    <comment ref="E42" authorId="0">
      <text>
        <r>
          <rPr>
            <sz val="10"/>
            <rFont val="Arial"/>
            <family val="2"/>
          </rPr>
          <t xml:space="preserve">Spare column: type a new group name here to add wash prices for another product group.</t>
        </r>
      </text>
    </comment>
    <comment ref="K21" authorId="0">
      <text>
        <r>
          <rPr>
            <sz val="10"/>
            <rFont val="Arial"/>
            <family val="2"/>
          </rPr>
          <t xml:space="preserve">$2.50 per item from Fred, 9/30/2026, applied to hoodies and bottoms. Not confirmed for tees, so left blank there. Clear the cell for any style that is not distressed.</t>
        </r>
      </text>
    </comment>
    <comment ref="L21" authorId="0">
      <text>
        <r>
          <rPr>
            <sz val="10"/>
            <rFont val="Arial"/>
            <family val="2"/>
          </rPr>
          <t xml:space="preserve">$3.50 per item from Fred, 9/30/2026 (he said to add it to everything), so it is carried onto each new style too.</t>
        </r>
      </text>
    </comment>
    <comment ref="M21" authorId="0">
      <text>
        <r>
          <rPr>
            <sz val="10"/>
            <rFont val="Arial"/>
            <family val="2"/>
          </rPr>
          <t xml:space="preserve">Total of all other per-unit costs for the style: zipper, labels, freight, etc. Blank counts as $0. If you add more trims, enter the combined total here.</t>
        </r>
      </text>
    </comment>
  </commentList>
</comments>
</file>

<file path=xl/sharedStrings.xml><?xml version="1.0" encoding="utf-8"?>
<sst xmlns="http://schemas.openxmlformats.org/spreadsheetml/2006/main" count="341" uniqueCount="118">
  <si>
    <t xml:space="preserve">FSF PRODUCTION PRICING — INPUTS</t>
  </si>
  <si>
    <t xml:space="preserve">How to use: edit BLUE numbers/text on this tab only. Yellow cells are blank and waiting for your number. Every cost on the costing tabs recalculates automatically. Empty rows are spare slots for new fabrics, styles and washes.</t>
  </si>
  <si>
    <t xml:space="preserve">FABRIC PRICES</t>
  </si>
  <si>
    <t xml:space="preserve">Fabric</t>
  </si>
  <si>
    <t xml:space="preserve">Price per yard ($)</t>
  </si>
  <si>
    <t xml:space="preserve">Notes</t>
  </si>
  <si>
    <t xml:space="preserve">20oz Gabardine French Terry</t>
  </si>
  <si>
    <t xml:space="preserve">From Fred, 9/30/2026</t>
  </si>
  <si>
    <t xml:space="preserve">Rib Knit</t>
  </si>
  <si>
    <t xml:space="preserve">Jersey</t>
  </si>
  <si>
    <t xml:space="preserve">Collar Rib (Tees)</t>
  </si>
  <si>
    <t xml:space="preserve">Thermal</t>
  </si>
  <si>
    <t xml:space="preserve">Nylon</t>
  </si>
  <si>
    <t xml:space="preserve">PRICE NEEDED — track jacket and track pants fabric. From Fred, 9/30/2026</t>
  </si>
  <si>
    <t xml:space="preserve">TRIMS PRICED BY THE YARD</t>
  </si>
  <si>
    <t xml:space="preserve">Trim</t>
  </si>
  <si>
    <t xml:space="preserve">Drawstring</t>
  </si>
  <si>
    <t xml:space="preserve">From Fred, 9/30/2026. Yards used per unit are set per style in the table below.</t>
  </si>
  <si>
    <t xml:space="preserve">Elastic</t>
  </si>
  <si>
    <t xml:space="preserve">STYLES — YIELDS &amp; LABOR</t>
  </si>
  <si>
    <t xml:space="preserve">Style</t>
  </si>
  <si>
    <t xml:space="preserve">Wash price group</t>
  </si>
  <si>
    <t xml:space="preserve">Body fabric</t>
  </si>
  <si>
    <t xml:space="preserve">Body yield (yd per unit)</t>
  </si>
  <si>
    <t xml:space="preserve">Rib fabric</t>
  </si>
  <si>
    <t xml:space="preserve">Rib yield (yd per unit)</t>
  </si>
  <si>
    <t xml:space="preserve">Drawstring (yd per unit)</t>
  </si>
  <si>
    <t xml:space="preserve">Elastic (yd per unit)</t>
  </si>
  <si>
    <t xml:space="preserve">Sewing ($ per unit)</t>
  </si>
  <si>
    <t xml:space="preserve">Cutting ($ per unit)</t>
  </si>
  <si>
    <t xml:space="preserve">Distress grinding ($ per unit)</t>
  </si>
  <si>
    <t xml:space="preserve">Packaging ($ per unit)</t>
  </si>
  <si>
    <t xml:space="preserve">Trims / other ($ per unit)</t>
  </si>
  <si>
    <t xml:space="preserve">Zip Hoodie</t>
  </si>
  <si>
    <t xml:space="preserve">Hoodies</t>
  </si>
  <si>
    <t xml:space="preserve">Standard hoodie: sewing $20 (the $30 price is kept as Specialized Zip Hoodie). Trims = zipper $3.00. No drawstring or elastic entered. From Fred, 9/30/2026</t>
  </si>
  <si>
    <t xml:space="preserve">Pullover Hoodie</t>
  </si>
  <si>
    <t xml:space="preserve">Standard hoodie: sewing $15 (the $25 price is kept as Specialized Pullover Hoodie). No drawstring or elastic entered. From Fred, 9/30/2026</t>
  </si>
  <si>
    <t xml:space="preserve">Specialized Zip Hoodie</t>
  </si>
  <si>
    <t xml:space="preserve">Original hoodie pricing: sewing $30. Same yields, cutting, grinding and zipper as the Zip Hoodie. From Fred, 9/30/2026</t>
  </si>
  <si>
    <t xml:space="preserve">Specialized Pullover Hoodie</t>
  </si>
  <si>
    <t xml:space="preserve">Original hoodie pricing: sewing $25. Same yields, cutting and grinding as the Pullover Hoodie. From Fred, 9/30/2026</t>
  </si>
  <si>
    <t xml:space="preserve">Sweatpants</t>
  </si>
  <si>
    <t xml:space="preserve">Bottoms</t>
  </si>
  <si>
    <t xml:space="preserve">No rib entered. From Fred, 9/30/2026</t>
  </si>
  <si>
    <t xml:space="preserve">Sweat Shorts (Jorts Baggy Cut)</t>
  </si>
  <si>
    <t xml:space="preserve">Short Sleeve Jersey Tee</t>
  </si>
  <si>
    <t xml:space="preserve">Tees</t>
  </si>
  <si>
    <t xml:space="preserve">Grinding not provided — counts as $0. From Fred, 9/30/2026</t>
  </si>
  <si>
    <t xml:space="preserve">Long Sleeve Jersey Tee</t>
  </si>
  <si>
    <t xml:space="preserve">Body yield = short sleeve yield + 0.52 yd for sleeves. Grinding not provided — counts as $0. From Fred, 9/30/2026</t>
  </si>
  <si>
    <t xml:space="preserve">Thermal Long Sleeve</t>
  </si>
  <si>
    <t xml:space="preserve">Body yield and wash prices same as long sleeve tee (from Fred). Sewing and cutting ASSUMED same as long sleeve tee — confirm. Grinding not provided — counts as $0.</t>
  </si>
  <si>
    <t xml:space="preserve">Tank Top</t>
  </si>
  <si>
    <t xml:space="preserve">Body fabric = Rib Knit at $6.95 (fabric may change). No wash selected; tee wash prices apply if one is picked. From Fred, 10/1/2026</t>
  </si>
  <si>
    <t xml:space="preserve">Track Jacket</t>
  </si>
  <si>
    <t xml:space="preserve">Nylon price not provided yet — total excludes fabric. Cutting = jacket + lining $3.50 + fuse $0.15. Trims = zipper $3.90. From Fred, 9/30/2026</t>
  </si>
  <si>
    <t xml:space="preserve">Track Pants</t>
  </si>
  <si>
    <t xml:space="preserve">Nylon price not provided yet — total excludes fabric. Elastic 1.5 yd ASSUMED same as sweatpants — confirm. From Fred, 9/30/2026</t>
  </si>
  <si>
    <t xml:space="preserve">Body/Rib fabric names must match the Fabric list above exactly. Leave Rib fabric and yield blank if a style has no rib.</t>
  </si>
  <si>
    <t xml:space="preserve">WASH / FINISH — COST PER UNIT BY PRODUCT GROUP ($)</t>
  </si>
  <si>
    <t xml:space="preserve">Wash</t>
  </si>
  <si>
    <t xml:space="preserve">PP Spray (Potassium)</t>
  </si>
  <si>
    <t xml:space="preserve">Stone Wash</t>
  </si>
  <si>
    <t xml:space="preserve">Bottoms = $1 less than hoodies. Tees revised from $4.75 to $6.00. From Fred, 9/30/2026</t>
  </si>
  <si>
    <t xml:space="preserve">Basic Wash / Dye</t>
  </si>
  <si>
    <t xml:space="preserve">Bottoms = $1 less than hoodies. From Fred, 9/30/2026</t>
  </si>
  <si>
    <t xml:space="preserve">PRICING</t>
  </si>
  <si>
    <t xml:space="preserve">Lever</t>
  </si>
  <si>
    <t xml:space="preserve">Value</t>
  </si>
  <si>
    <t xml:space="preserve">FSF markup %</t>
  </si>
  <si>
    <t xml:space="preserve">From Fred, 9/30/2026. Cost incl. markup = total cost × (1 + markup). Applied to every style.</t>
  </si>
  <si>
    <t xml:space="preserve">Selling price multiple</t>
  </si>
  <si>
    <t xml:space="preserve">From Fred, 9/30/2026. Selling price = total cost including FSF markup × this multiple.</t>
  </si>
  <si>
    <t xml:space="preserve">ONE-TIME FEES PER STYLE (charged once, not per garment)</t>
  </si>
  <si>
    <t xml:space="preserve">Fee</t>
  </si>
  <si>
    <t xml:space="preserve">Amount ($)</t>
  </si>
  <si>
    <t xml:space="preserve">Pattern fee</t>
  </si>
  <si>
    <t xml:space="preserve">From Fred, 10/1/2026 (revised from $300). Per style. Not included in unit cost or selling price.</t>
  </si>
  <si>
    <t xml:space="preserve">Pattern digitized &amp; graded for cutting</t>
  </si>
  <si>
    <t xml:space="preserve">From Fred, 10/1/2026. Per style. Not included in unit cost or selling price.</t>
  </si>
  <si>
    <t xml:space="preserve">Total one-time fees per style</t>
  </si>
  <si>
    <t xml:space="preserve">HOODIE COST PER UNIT</t>
  </si>
  <si>
    <t xml:space="preserve">Each column is one build. Pick a Style and Wash from the dropdowns (blue cells) — everything below is a formula pulling from the Inputs tab. Leave Wash blank for no wash. Green = pulled from Inputs, black = calculated.</t>
  </si>
  <si>
    <t xml:space="preserve">BODY FABRIC</t>
  </si>
  <si>
    <t xml:space="preserve">Body yield (yd)</t>
  </si>
  <si>
    <t xml:space="preserve">Body fabric price ($/yd)</t>
  </si>
  <si>
    <t xml:space="preserve">Body fabric cost ($)</t>
  </si>
  <si>
    <t xml:space="preserve">RIB</t>
  </si>
  <si>
    <t xml:space="preserve">Rib yield (yd)</t>
  </si>
  <si>
    <t xml:space="preserve">Rib price ($/yd)</t>
  </si>
  <si>
    <t xml:space="preserve">Rib cost ($)</t>
  </si>
  <si>
    <t xml:space="preserve">DRAWSTRING &amp; ELASTIC</t>
  </si>
  <si>
    <t xml:space="preserve">Drawstring (yd)</t>
  </si>
  <si>
    <t xml:space="preserve">Drawstring price ($/yd)</t>
  </si>
  <si>
    <t xml:space="preserve">Drawstring cost ($)</t>
  </si>
  <si>
    <t xml:space="preserve">Elastic (yd)</t>
  </si>
  <si>
    <t xml:space="preserve">Elastic price ($/yd)</t>
  </si>
  <si>
    <t xml:space="preserve">Elastic cost ($)</t>
  </si>
  <si>
    <t xml:space="preserve">WASH, LABOR, TRIMS &amp; PACKAGING</t>
  </si>
  <si>
    <t xml:space="preserve">Wash cost ($)</t>
  </si>
  <si>
    <t xml:space="preserve">Distress grinding ($)</t>
  </si>
  <si>
    <t xml:space="preserve">Cutting ($)</t>
  </si>
  <si>
    <t xml:space="preserve">Sewing ($)</t>
  </si>
  <si>
    <t xml:space="preserve">Trims / other ($)</t>
  </si>
  <si>
    <t xml:space="preserve">Packaging ($)</t>
  </si>
  <si>
    <t xml:space="preserve">TOTAL COST PER UNIT ($)</t>
  </si>
  <si>
    <t xml:space="preserve">Status</t>
  </si>
  <si>
    <t xml:space="preserve">FSF markup ($)</t>
  </si>
  <si>
    <t xml:space="preserve">TOTAL COST INCL. FSF MARKUP ($)</t>
  </si>
  <si>
    <t xml:space="preserve">SELLING PRICE PER UNIT ($)</t>
  </si>
  <si>
    <t xml:space="preserve">ONE-TIME FEES — charged once per style, not per garment or per wash; not in unit cost or selling price</t>
  </si>
  <si>
    <t xml:space="preserve">Pattern fee ($)</t>
  </si>
  <si>
    <t xml:space="preserve">Pattern digitized &amp; graded ($)</t>
  </si>
  <si>
    <t xml:space="preserve">TOTAL ONE-TIME FEES PER STYLE ($)</t>
  </si>
  <si>
    <t xml:space="preserve">SWEATPANTS &amp; SWEAT SHORTS COST PER UNIT</t>
  </si>
  <si>
    <t xml:space="preserve">TEES, THERMAL &amp; TANK TOP COST PER UNIT</t>
  </si>
  <si>
    <t xml:space="preserve">TRACK JACKET &amp; TRACK PANTS COST PER UNIT</t>
  </si>
</sst>
</file>

<file path=xl/styles.xml><?xml version="1.0" encoding="utf-8"?>
<styleSheet xmlns="http://schemas.openxmlformats.org/spreadsheetml/2006/main">
  <numFmts count="5">
    <numFmt numFmtId="164" formatCode="General"/>
    <numFmt numFmtId="165" formatCode="\$#,##0.00;&quot;($&quot;#,##0.00\);\-"/>
    <numFmt numFmtId="166" formatCode="0.00"/>
    <numFmt numFmtId="167" formatCode="0.0%"/>
    <numFmt numFmtId="168" formatCode="0.00\x"/>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0"/>
      <charset val="1"/>
    </font>
    <font>
      <sz val="10"/>
      <name val="Arial"/>
      <family val="2"/>
    </font>
    <font>
      <b val="true"/>
      <sz val="10"/>
      <color rgb="FF0000FF"/>
      <name val="Arial"/>
      <family val="0"/>
      <charset val="1"/>
    </font>
    <font>
      <sz val="10"/>
      <color rgb="FF008000"/>
      <name val="Arial"/>
      <family val="0"/>
      <charset val="1"/>
    </font>
  </fonts>
  <fills count="6">
    <fill>
      <patternFill patternType="none"/>
    </fill>
    <fill>
      <patternFill patternType="gray125"/>
    </fill>
    <fill>
      <patternFill patternType="solid">
        <fgColor rgb="FF1F1F1F"/>
        <bgColor rgb="FF333300"/>
      </patternFill>
    </fill>
    <fill>
      <patternFill patternType="solid">
        <fgColor rgb="FFFFFF00"/>
        <bgColor rgb="FFFFFF00"/>
      </patternFill>
    </fill>
    <fill>
      <patternFill patternType="solid">
        <fgColor rgb="FFE7E6E6"/>
        <bgColor rgb="FFD9D9D9"/>
      </patternFill>
    </fill>
    <fill>
      <patternFill patternType="solid">
        <fgColor rgb="FFD9D9D9"/>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30"/>
    <col collapsed="false" customWidth="true" hidden="false" outlineLevel="0" max="4" min="4" style="0" width="14"/>
    <col collapsed="false" customWidth="true" hidden="false" outlineLevel="0" max="5" min="5" style="0" width="16"/>
    <col collapsed="false" customWidth="true" hidden="false" outlineLevel="0" max="10" min="6" style="0" width="14"/>
    <col collapsed="false" customWidth="true" hidden="false" outlineLevel="0" max="11" min="11" style="0" width="16"/>
    <col collapsed="false" customWidth="true" hidden="false" outlineLevel="0" max="12" min="12" style="0" width="14"/>
    <col collapsed="false" customWidth="true" hidden="false" outlineLevel="0" max="13" min="13" style="0" width="16"/>
    <col collapsed="false" customWidth="true" hidden="false" outlineLevel="0" max="14" min="14" style="0" width="58"/>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c r="J2" s="2"/>
      <c r="K2" s="2"/>
      <c r="L2" s="2"/>
      <c r="M2" s="2"/>
      <c r="N2" s="2"/>
    </row>
    <row r="4" customFormat="false" ht="15" hidden="false" customHeight="false" outlineLevel="0" collapsed="false">
      <c r="A4" s="3" t="s">
        <v>2</v>
      </c>
    </row>
    <row r="5" customFormat="false" ht="30" hidden="false" customHeight="true" outlineLevel="0" collapsed="false">
      <c r="A5" s="4" t="s">
        <v>3</v>
      </c>
      <c r="B5" s="5" t="s">
        <v>4</v>
      </c>
      <c r="C5" s="5" t="s">
        <v>5</v>
      </c>
    </row>
    <row r="6" customFormat="false" ht="15" hidden="false" customHeight="false" outlineLevel="0" collapsed="false">
      <c r="A6" s="6" t="s">
        <v>6</v>
      </c>
      <c r="B6" s="7" t="n">
        <v>8.57</v>
      </c>
      <c r="C6" s="8" t="s">
        <v>7</v>
      </c>
    </row>
    <row r="7" customFormat="false" ht="15" hidden="false" customHeight="false" outlineLevel="0" collapsed="false">
      <c r="A7" s="6" t="s">
        <v>8</v>
      </c>
      <c r="B7" s="7" t="n">
        <v>6.95</v>
      </c>
      <c r="C7" s="8" t="s">
        <v>7</v>
      </c>
    </row>
    <row r="8" customFormat="false" ht="15" hidden="false" customHeight="false" outlineLevel="0" collapsed="false">
      <c r="A8" s="6" t="s">
        <v>9</v>
      </c>
      <c r="B8" s="7" t="n">
        <v>3.95</v>
      </c>
      <c r="C8" s="8" t="s">
        <v>7</v>
      </c>
    </row>
    <row r="9" customFormat="false" ht="15" hidden="false" customHeight="false" outlineLevel="0" collapsed="false">
      <c r="A9" s="6" t="s">
        <v>10</v>
      </c>
      <c r="B9" s="7" t="n">
        <v>3.95</v>
      </c>
      <c r="C9" s="8" t="s">
        <v>7</v>
      </c>
    </row>
    <row r="10" customFormat="false" ht="15" hidden="false" customHeight="false" outlineLevel="0" collapsed="false">
      <c r="A10" s="6" t="s">
        <v>11</v>
      </c>
      <c r="B10" s="7" t="n">
        <v>4.95</v>
      </c>
      <c r="C10" s="8" t="s">
        <v>7</v>
      </c>
    </row>
    <row r="11" customFormat="false" ht="15" hidden="false" customHeight="false" outlineLevel="0" collapsed="false">
      <c r="A11" s="6" t="s">
        <v>12</v>
      </c>
      <c r="B11" s="9"/>
      <c r="C11" s="8" t="s">
        <v>13</v>
      </c>
    </row>
    <row r="12" customFormat="false" ht="15" hidden="false" customHeight="false" outlineLevel="0" collapsed="false">
      <c r="A12" s="6"/>
      <c r="B12" s="7"/>
      <c r="C12" s="8"/>
    </row>
    <row r="13" customFormat="false" ht="15" hidden="false" customHeight="false" outlineLevel="0" collapsed="false">
      <c r="A13" s="6"/>
      <c r="B13" s="7"/>
      <c r="C13" s="8"/>
    </row>
    <row r="15" customFormat="false" ht="15" hidden="false" customHeight="false" outlineLevel="0" collapsed="false">
      <c r="A15" s="3" t="s">
        <v>14</v>
      </c>
    </row>
    <row r="16" customFormat="false" ht="30" hidden="false" customHeight="true" outlineLevel="0" collapsed="false">
      <c r="A16" s="4" t="s">
        <v>15</v>
      </c>
      <c r="B16" s="5" t="s">
        <v>4</v>
      </c>
      <c r="C16" s="5" t="s">
        <v>5</v>
      </c>
    </row>
    <row r="17" customFormat="false" ht="15" hidden="false" customHeight="false" outlineLevel="0" collapsed="false">
      <c r="A17" s="10" t="s">
        <v>16</v>
      </c>
      <c r="B17" s="7" t="n">
        <v>0.55</v>
      </c>
      <c r="C17" s="8" t="s">
        <v>17</v>
      </c>
    </row>
    <row r="18" customFormat="false" ht="15" hidden="false" customHeight="false" outlineLevel="0" collapsed="false">
      <c r="A18" s="10" t="s">
        <v>18</v>
      </c>
      <c r="B18" s="7" t="n">
        <v>1</v>
      </c>
      <c r="C18" s="8" t="s">
        <v>17</v>
      </c>
    </row>
    <row r="20" customFormat="false" ht="15" hidden="false" customHeight="false" outlineLevel="0" collapsed="false">
      <c r="A20" s="3" t="s">
        <v>19</v>
      </c>
    </row>
    <row r="21" customFormat="false" ht="30" hidden="false" customHeight="true" outlineLevel="0" collapsed="false">
      <c r="A21" s="4" t="s">
        <v>20</v>
      </c>
      <c r="B21" s="5" t="s">
        <v>21</v>
      </c>
      <c r="C21" s="5" t="s">
        <v>22</v>
      </c>
      <c r="D21" s="5" t="s">
        <v>23</v>
      </c>
      <c r="E21" s="5" t="s">
        <v>24</v>
      </c>
      <c r="F21" s="5" t="s">
        <v>25</v>
      </c>
      <c r="G21" s="5" t="s">
        <v>26</v>
      </c>
      <c r="H21" s="5" t="s">
        <v>27</v>
      </c>
      <c r="I21" s="5" t="s">
        <v>28</v>
      </c>
      <c r="J21" s="5" t="s">
        <v>29</v>
      </c>
      <c r="K21" s="5" t="s">
        <v>30</v>
      </c>
      <c r="L21" s="5" t="s">
        <v>31</v>
      </c>
      <c r="M21" s="5" t="s">
        <v>32</v>
      </c>
      <c r="N21" s="5" t="s">
        <v>5</v>
      </c>
    </row>
    <row r="22" customFormat="false" ht="15" hidden="false" customHeight="false" outlineLevel="0" collapsed="false">
      <c r="A22" s="6" t="s">
        <v>33</v>
      </c>
      <c r="B22" s="6" t="s">
        <v>34</v>
      </c>
      <c r="C22" s="6" t="s">
        <v>6</v>
      </c>
      <c r="D22" s="11" t="n">
        <v>2.16</v>
      </c>
      <c r="E22" s="6" t="s">
        <v>8</v>
      </c>
      <c r="F22" s="11" t="n">
        <v>0.75</v>
      </c>
      <c r="G22" s="11"/>
      <c r="H22" s="11"/>
      <c r="I22" s="7" t="n">
        <v>20</v>
      </c>
      <c r="J22" s="7" t="n">
        <v>1</v>
      </c>
      <c r="K22" s="7" t="n">
        <v>2.5</v>
      </c>
      <c r="L22" s="7" t="n">
        <v>3.5</v>
      </c>
      <c r="M22" s="7" t="n">
        <v>3</v>
      </c>
      <c r="N22" s="8" t="s">
        <v>35</v>
      </c>
    </row>
    <row r="23" customFormat="false" ht="15" hidden="false" customHeight="false" outlineLevel="0" collapsed="false">
      <c r="A23" s="6" t="s">
        <v>36</v>
      </c>
      <c r="B23" s="6" t="s">
        <v>34</v>
      </c>
      <c r="C23" s="6" t="s">
        <v>6</v>
      </c>
      <c r="D23" s="11" t="n">
        <v>2.06</v>
      </c>
      <c r="E23" s="6" t="s">
        <v>8</v>
      </c>
      <c r="F23" s="11" t="n">
        <v>0.75</v>
      </c>
      <c r="G23" s="11"/>
      <c r="H23" s="11"/>
      <c r="I23" s="7" t="n">
        <v>15</v>
      </c>
      <c r="J23" s="7" t="n">
        <v>1</v>
      </c>
      <c r="K23" s="7" t="n">
        <v>2.5</v>
      </c>
      <c r="L23" s="7" t="n">
        <v>3.5</v>
      </c>
      <c r="M23" s="7"/>
      <c r="N23" s="8" t="s">
        <v>37</v>
      </c>
    </row>
    <row r="24" customFormat="false" ht="15" hidden="false" customHeight="false" outlineLevel="0" collapsed="false">
      <c r="A24" s="6" t="s">
        <v>38</v>
      </c>
      <c r="B24" s="6" t="s">
        <v>34</v>
      </c>
      <c r="C24" s="6" t="s">
        <v>6</v>
      </c>
      <c r="D24" s="11" t="n">
        <v>2.16</v>
      </c>
      <c r="E24" s="6" t="s">
        <v>8</v>
      </c>
      <c r="F24" s="11" t="n">
        <v>0.75</v>
      </c>
      <c r="G24" s="11"/>
      <c r="H24" s="11"/>
      <c r="I24" s="7" t="n">
        <v>30</v>
      </c>
      <c r="J24" s="7" t="n">
        <v>1</v>
      </c>
      <c r="K24" s="7" t="n">
        <v>2.5</v>
      </c>
      <c r="L24" s="7" t="n">
        <v>3.5</v>
      </c>
      <c r="M24" s="7" t="n">
        <v>3</v>
      </c>
      <c r="N24" s="8" t="s">
        <v>39</v>
      </c>
    </row>
    <row r="25" customFormat="false" ht="15" hidden="false" customHeight="false" outlineLevel="0" collapsed="false">
      <c r="A25" s="6" t="s">
        <v>40</v>
      </c>
      <c r="B25" s="6" t="s">
        <v>34</v>
      </c>
      <c r="C25" s="6" t="s">
        <v>6</v>
      </c>
      <c r="D25" s="11" t="n">
        <v>2.06</v>
      </c>
      <c r="E25" s="6" t="s">
        <v>8</v>
      </c>
      <c r="F25" s="11" t="n">
        <v>0.75</v>
      </c>
      <c r="G25" s="11"/>
      <c r="H25" s="11"/>
      <c r="I25" s="7" t="n">
        <v>25</v>
      </c>
      <c r="J25" s="7" t="n">
        <v>1</v>
      </c>
      <c r="K25" s="7" t="n">
        <v>2.5</v>
      </c>
      <c r="L25" s="7" t="n">
        <v>3.5</v>
      </c>
      <c r="M25" s="7"/>
      <c r="N25" s="8" t="s">
        <v>41</v>
      </c>
    </row>
    <row r="26" customFormat="false" ht="15" hidden="false" customHeight="false" outlineLevel="0" collapsed="false">
      <c r="A26" s="6" t="s">
        <v>42</v>
      </c>
      <c r="B26" s="6" t="s">
        <v>43</v>
      </c>
      <c r="C26" s="6" t="s">
        <v>6</v>
      </c>
      <c r="D26" s="11" t="n">
        <v>2.08</v>
      </c>
      <c r="E26" s="6"/>
      <c r="F26" s="11"/>
      <c r="G26" s="11" t="n">
        <v>2.25</v>
      </c>
      <c r="H26" s="11" t="n">
        <v>1.5</v>
      </c>
      <c r="I26" s="7" t="n">
        <v>18</v>
      </c>
      <c r="J26" s="7" t="n">
        <v>1</v>
      </c>
      <c r="K26" s="7" t="n">
        <v>2.5</v>
      </c>
      <c r="L26" s="7" t="n">
        <v>3.5</v>
      </c>
      <c r="M26" s="7"/>
      <c r="N26" s="8" t="s">
        <v>44</v>
      </c>
    </row>
    <row r="27" customFormat="false" ht="15" hidden="false" customHeight="false" outlineLevel="0" collapsed="false">
      <c r="A27" s="6" t="s">
        <v>45</v>
      </c>
      <c r="B27" s="6" t="s">
        <v>43</v>
      </c>
      <c r="C27" s="6" t="s">
        <v>6</v>
      </c>
      <c r="D27" s="11" t="n">
        <v>1.45</v>
      </c>
      <c r="E27" s="6"/>
      <c r="F27" s="11"/>
      <c r="G27" s="11" t="n">
        <v>2.25</v>
      </c>
      <c r="H27" s="11" t="n">
        <v>1.5</v>
      </c>
      <c r="I27" s="7" t="n">
        <v>16</v>
      </c>
      <c r="J27" s="7" t="n">
        <v>1</v>
      </c>
      <c r="K27" s="7" t="n">
        <v>2.5</v>
      </c>
      <c r="L27" s="7" t="n">
        <v>3.5</v>
      </c>
      <c r="M27" s="7"/>
      <c r="N27" s="8" t="s">
        <v>44</v>
      </c>
    </row>
    <row r="28" customFormat="false" ht="15" hidden="false" customHeight="false" outlineLevel="0" collapsed="false">
      <c r="A28" s="6" t="s">
        <v>46</v>
      </c>
      <c r="B28" s="6" t="s">
        <v>47</v>
      </c>
      <c r="C28" s="6" t="s">
        <v>9</v>
      </c>
      <c r="D28" s="11" t="n">
        <v>1.08</v>
      </c>
      <c r="E28" s="6" t="s">
        <v>10</v>
      </c>
      <c r="F28" s="11" t="n">
        <v>0.25</v>
      </c>
      <c r="G28" s="11"/>
      <c r="H28" s="11"/>
      <c r="I28" s="7" t="n">
        <v>10</v>
      </c>
      <c r="J28" s="7" t="n">
        <v>0.63</v>
      </c>
      <c r="K28" s="9"/>
      <c r="L28" s="7" t="n">
        <v>3.5</v>
      </c>
      <c r="M28" s="7"/>
      <c r="N28" s="8" t="s">
        <v>48</v>
      </c>
    </row>
    <row r="29" customFormat="false" ht="15" hidden="false" customHeight="false" outlineLevel="0" collapsed="false">
      <c r="A29" s="6" t="s">
        <v>49</v>
      </c>
      <c r="B29" s="6" t="s">
        <v>47</v>
      </c>
      <c r="C29" s="6" t="s">
        <v>9</v>
      </c>
      <c r="D29" s="11" t="n">
        <f aca="false">D28+0.52</f>
        <v>1.6</v>
      </c>
      <c r="E29" s="6" t="s">
        <v>10</v>
      </c>
      <c r="F29" s="11" t="n">
        <v>0.25</v>
      </c>
      <c r="G29" s="11"/>
      <c r="H29" s="11"/>
      <c r="I29" s="7" t="n">
        <v>12</v>
      </c>
      <c r="J29" s="7" t="n">
        <v>1</v>
      </c>
      <c r="K29" s="9"/>
      <c r="L29" s="7" t="n">
        <v>3.5</v>
      </c>
      <c r="M29" s="7"/>
      <c r="N29" s="8" t="s">
        <v>50</v>
      </c>
    </row>
    <row r="30" customFormat="false" ht="15" hidden="false" customHeight="false" outlineLevel="0" collapsed="false">
      <c r="A30" s="6" t="s">
        <v>51</v>
      </c>
      <c r="B30" s="6" t="s">
        <v>47</v>
      </c>
      <c r="C30" s="6" t="s">
        <v>11</v>
      </c>
      <c r="D30" s="11" t="n">
        <f aca="false">D29</f>
        <v>1.6</v>
      </c>
      <c r="E30" s="6" t="s">
        <v>10</v>
      </c>
      <c r="F30" s="11" t="n">
        <v>0.25</v>
      </c>
      <c r="G30" s="11"/>
      <c r="H30" s="11"/>
      <c r="I30" s="7" t="n">
        <f aca="false">I29</f>
        <v>12</v>
      </c>
      <c r="J30" s="7" t="n">
        <f aca="false">J29</f>
        <v>1</v>
      </c>
      <c r="K30" s="9"/>
      <c r="L30" s="7" t="n">
        <v>3.5</v>
      </c>
      <c r="M30" s="7"/>
      <c r="N30" s="8" t="s">
        <v>52</v>
      </c>
    </row>
    <row r="31" customFormat="false" ht="15" hidden="false" customHeight="false" outlineLevel="0" collapsed="false">
      <c r="A31" s="6" t="s">
        <v>53</v>
      </c>
      <c r="B31" s="6" t="s">
        <v>47</v>
      </c>
      <c r="C31" s="6" t="s">
        <v>8</v>
      </c>
      <c r="D31" s="11" t="n">
        <v>0.75</v>
      </c>
      <c r="E31" s="6"/>
      <c r="F31" s="11"/>
      <c r="G31" s="11"/>
      <c r="H31" s="11"/>
      <c r="I31" s="7" t="n">
        <v>8</v>
      </c>
      <c r="J31" s="7" t="n">
        <v>0.95</v>
      </c>
      <c r="K31" s="7"/>
      <c r="L31" s="7" t="n">
        <v>3.5</v>
      </c>
      <c r="M31" s="7"/>
      <c r="N31" s="8" t="s">
        <v>54</v>
      </c>
    </row>
    <row r="32" customFormat="false" ht="15" hidden="false" customHeight="false" outlineLevel="0" collapsed="false">
      <c r="A32" s="6" t="s">
        <v>55</v>
      </c>
      <c r="B32" s="6"/>
      <c r="C32" s="6" t="s">
        <v>12</v>
      </c>
      <c r="D32" s="11" t="n">
        <v>1.63</v>
      </c>
      <c r="E32" s="6"/>
      <c r="F32" s="11"/>
      <c r="G32" s="11"/>
      <c r="H32" s="11"/>
      <c r="I32" s="7" t="n">
        <v>60</v>
      </c>
      <c r="J32" s="7" t="n">
        <f aca="false">3.5+0.15</f>
        <v>3.65</v>
      </c>
      <c r="K32" s="7"/>
      <c r="L32" s="7" t="n">
        <v>3.5</v>
      </c>
      <c r="M32" s="7" t="n">
        <v>3.9</v>
      </c>
      <c r="N32" s="8" t="s">
        <v>56</v>
      </c>
    </row>
    <row r="33" customFormat="false" ht="15" hidden="false" customHeight="false" outlineLevel="0" collapsed="false">
      <c r="A33" s="6" t="s">
        <v>57</v>
      </c>
      <c r="B33" s="6"/>
      <c r="C33" s="6" t="s">
        <v>12</v>
      </c>
      <c r="D33" s="11" t="n">
        <v>1.4</v>
      </c>
      <c r="E33" s="6"/>
      <c r="F33" s="11"/>
      <c r="G33" s="11"/>
      <c r="H33" s="11" t="n">
        <v>1.5</v>
      </c>
      <c r="I33" s="7" t="n">
        <v>20</v>
      </c>
      <c r="J33" s="7" t="n">
        <v>2</v>
      </c>
      <c r="K33" s="7"/>
      <c r="L33" s="7" t="n">
        <v>3.5</v>
      </c>
      <c r="M33" s="7"/>
      <c r="N33" s="8" t="s">
        <v>58</v>
      </c>
    </row>
    <row r="34" customFormat="false" ht="15" hidden="false" customHeight="false" outlineLevel="0" collapsed="false">
      <c r="A34" s="6"/>
      <c r="B34" s="6"/>
      <c r="C34" s="6"/>
      <c r="D34" s="11"/>
      <c r="E34" s="6"/>
      <c r="F34" s="11"/>
      <c r="G34" s="11"/>
      <c r="H34" s="11"/>
      <c r="I34" s="7"/>
      <c r="J34" s="7"/>
      <c r="K34" s="7"/>
      <c r="L34" s="7"/>
      <c r="M34" s="7"/>
      <c r="N34" s="8"/>
    </row>
    <row r="35" customFormat="false" ht="15" hidden="false" customHeight="false" outlineLevel="0" collapsed="false">
      <c r="A35" s="6"/>
      <c r="B35" s="6"/>
      <c r="C35" s="6"/>
      <c r="D35" s="11"/>
      <c r="E35" s="6"/>
      <c r="F35" s="11"/>
      <c r="G35" s="11"/>
      <c r="H35" s="11"/>
      <c r="I35" s="7"/>
      <c r="J35" s="7"/>
      <c r="K35" s="7"/>
      <c r="L35" s="7"/>
      <c r="M35" s="7"/>
      <c r="N35" s="8"/>
    </row>
    <row r="36" customFormat="false" ht="15" hidden="false" customHeight="false" outlineLevel="0" collapsed="false">
      <c r="A36" s="6"/>
      <c r="B36" s="6"/>
      <c r="C36" s="6"/>
      <c r="D36" s="11"/>
      <c r="E36" s="6"/>
      <c r="F36" s="11"/>
      <c r="G36" s="11"/>
      <c r="H36" s="11"/>
      <c r="I36" s="7"/>
      <c r="J36" s="7"/>
      <c r="K36" s="7"/>
      <c r="L36" s="7"/>
      <c r="M36" s="7"/>
      <c r="N36" s="8"/>
    </row>
    <row r="37" customFormat="false" ht="15" hidden="false" customHeight="false" outlineLevel="0" collapsed="false">
      <c r="A37" s="6"/>
      <c r="B37" s="6"/>
      <c r="C37" s="6"/>
      <c r="D37" s="11"/>
      <c r="E37" s="6"/>
      <c r="F37" s="11"/>
      <c r="G37" s="11"/>
      <c r="H37" s="11"/>
      <c r="I37" s="7"/>
      <c r="J37" s="7"/>
      <c r="K37" s="7"/>
      <c r="L37" s="7"/>
      <c r="M37" s="7"/>
      <c r="N37" s="8"/>
    </row>
    <row r="38" customFormat="false" ht="15" hidden="false" customHeight="false" outlineLevel="0" collapsed="false">
      <c r="A38" s="12" t="s">
        <v>59</v>
      </c>
    </row>
    <row r="41" customFormat="false" ht="15" hidden="false" customHeight="false" outlineLevel="0" collapsed="false">
      <c r="A41" s="3" t="s">
        <v>60</v>
      </c>
    </row>
    <row r="42" customFormat="false" ht="30" hidden="false" customHeight="true" outlineLevel="0" collapsed="false">
      <c r="A42" s="4" t="s">
        <v>61</v>
      </c>
      <c r="B42" s="5" t="s">
        <v>34</v>
      </c>
      <c r="C42" s="5" t="s">
        <v>43</v>
      </c>
      <c r="D42" s="5" t="s">
        <v>47</v>
      </c>
      <c r="E42" s="5"/>
      <c r="F42" s="5" t="s">
        <v>5</v>
      </c>
    </row>
    <row r="43" customFormat="false" ht="15" hidden="false" customHeight="false" outlineLevel="0" collapsed="false">
      <c r="A43" s="6" t="s">
        <v>62</v>
      </c>
      <c r="B43" s="7" t="n">
        <v>23</v>
      </c>
      <c r="C43" s="7" t="n">
        <v>18</v>
      </c>
      <c r="D43" s="7" t="n">
        <v>12</v>
      </c>
      <c r="E43" s="7"/>
      <c r="F43" s="8" t="s">
        <v>7</v>
      </c>
    </row>
    <row r="44" customFormat="false" ht="15" hidden="false" customHeight="false" outlineLevel="0" collapsed="false">
      <c r="A44" s="6" t="s">
        <v>63</v>
      </c>
      <c r="B44" s="7" t="n">
        <v>12</v>
      </c>
      <c r="C44" s="7" t="n">
        <v>11</v>
      </c>
      <c r="D44" s="7" t="n">
        <v>6</v>
      </c>
      <c r="E44" s="7"/>
      <c r="F44" s="8" t="s">
        <v>64</v>
      </c>
    </row>
    <row r="45" customFormat="false" ht="15" hidden="false" customHeight="false" outlineLevel="0" collapsed="false">
      <c r="A45" s="6" t="s">
        <v>65</v>
      </c>
      <c r="B45" s="7" t="n">
        <v>4.75</v>
      </c>
      <c r="C45" s="7" t="n">
        <v>3.75</v>
      </c>
      <c r="D45" s="7" t="n">
        <v>2.75</v>
      </c>
      <c r="E45" s="7"/>
      <c r="F45" s="8" t="s">
        <v>66</v>
      </c>
    </row>
    <row r="46" customFormat="false" ht="15" hidden="false" customHeight="false" outlineLevel="0" collapsed="false">
      <c r="A46" s="6"/>
      <c r="B46" s="7"/>
      <c r="C46" s="7"/>
      <c r="D46" s="7"/>
      <c r="E46" s="7"/>
      <c r="F46" s="8"/>
    </row>
    <row r="47" customFormat="false" ht="15" hidden="false" customHeight="false" outlineLevel="0" collapsed="false">
      <c r="A47" s="6"/>
      <c r="B47" s="7"/>
      <c r="C47" s="7"/>
      <c r="D47" s="7"/>
      <c r="E47" s="7"/>
      <c r="F47" s="8"/>
    </row>
    <row r="48" customFormat="false" ht="15" hidden="false" customHeight="false" outlineLevel="0" collapsed="false">
      <c r="A48" s="6"/>
      <c r="B48" s="7"/>
      <c r="C48" s="7"/>
      <c r="D48" s="7"/>
      <c r="E48" s="7"/>
      <c r="F48" s="8"/>
    </row>
    <row r="50" customFormat="false" ht="15" hidden="false" customHeight="false" outlineLevel="0" collapsed="false">
      <c r="A50" s="3" t="s">
        <v>67</v>
      </c>
    </row>
    <row r="51" customFormat="false" ht="30" hidden="false" customHeight="true" outlineLevel="0" collapsed="false">
      <c r="A51" s="4" t="s">
        <v>68</v>
      </c>
      <c r="B51" s="5" t="s">
        <v>69</v>
      </c>
      <c r="C51" s="5" t="s">
        <v>5</v>
      </c>
    </row>
    <row r="52" customFormat="false" ht="15" hidden="false" customHeight="false" outlineLevel="0" collapsed="false">
      <c r="A52" s="10" t="s">
        <v>70</v>
      </c>
      <c r="B52" s="13" t="n">
        <v>0.2</v>
      </c>
      <c r="C52" s="8" t="s">
        <v>71</v>
      </c>
    </row>
    <row r="53" customFormat="false" ht="15" hidden="false" customHeight="false" outlineLevel="0" collapsed="false">
      <c r="A53" s="10" t="s">
        <v>72</v>
      </c>
      <c r="B53" s="14" t="n">
        <v>2.5</v>
      </c>
      <c r="C53" s="8" t="s">
        <v>73</v>
      </c>
    </row>
    <row r="55" customFormat="false" ht="15" hidden="false" customHeight="false" outlineLevel="0" collapsed="false">
      <c r="A55" s="3" t="s">
        <v>74</v>
      </c>
    </row>
    <row r="56" customFormat="false" ht="30" hidden="false" customHeight="true" outlineLevel="0" collapsed="false">
      <c r="A56" s="4" t="s">
        <v>75</v>
      </c>
      <c r="B56" s="5" t="s">
        <v>76</v>
      </c>
      <c r="C56" s="5" t="s">
        <v>5</v>
      </c>
    </row>
    <row r="57" customFormat="false" ht="15" hidden="false" customHeight="false" outlineLevel="0" collapsed="false">
      <c r="A57" s="10" t="s">
        <v>77</v>
      </c>
      <c r="B57" s="7" t="n">
        <v>200</v>
      </c>
      <c r="C57" s="8" t="s">
        <v>78</v>
      </c>
    </row>
    <row r="58" customFormat="false" ht="15" hidden="false" customHeight="false" outlineLevel="0" collapsed="false">
      <c r="A58" s="10" t="s">
        <v>79</v>
      </c>
      <c r="B58" s="7" t="n">
        <v>250</v>
      </c>
      <c r="C58" s="8" t="s">
        <v>80</v>
      </c>
    </row>
    <row r="59" customFormat="false" ht="15" hidden="false" customHeight="false" outlineLevel="0" collapsed="false">
      <c r="A59" s="15" t="s">
        <v>81</v>
      </c>
      <c r="B59" s="16" t="n">
        <f aca="false">B57+B58</f>
        <v>450</v>
      </c>
    </row>
  </sheetData>
  <mergeCells count="1">
    <mergeCell ref="A2:N2"/>
  </mergeCells>
  <dataValidations count="2">
    <dataValidation allowBlank="true" errorStyle="stop" operator="between" showDropDown="false" showErrorMessage="false" showInputMessage="false" sqref="C22:C37 E22:E37" type="list">
      <formula1>$A$6:$A$13</formula1>
      <formula2>0</formula2>
    </dataValidation>
    <dataValidation allowBlank="true" errorStyle="stop" operator="between" showDropDown="false" showErrorMessage="false" showInputMessage="false" sqref="B22:B37" type="list">
      <formula1>$B$42:$E$42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3" min="2" style="0" width="19"/>
  </cols>
  <sheetData>
    <row r="1" customFormat="false" ht="17.35" hidden="false" customHeight="false" outlineLevel="0" collapsed="false">
      <c r="A1" s="1" t="s">
        <v>82</v>
      </c>
    </row>
    <row r="2" customFormat="false" ht="27.75" hidden="false" customHeight="true" outlineLevel="0" collapsed="false">
      <c r="A2" s="2" t="s">
        <v>83</v>
      </c>
      <c r="B2" s="2"/>
      <c r="C2" s="2"/>
      <c r="D2" s="2"/>
      <c r="E2" s="2"/>
      <c r="F2" s="2"/>
      <c r="G2" s="2"/>
      <c r="H2" s="2"/>
      <c r="I2" s="2"/>
      <c r="J2" s="2"/>
      <c r="K2" s="2"/>
      <c r="L2" s="2"/>
      <c r="M2" s="2"/>
    </row>
    <row r="4" customFormat="false" ht="30" hidden="false" customHeight="true" outlineLevel="0" collapsed="false">
      <c r="A4" s="15" t="s">
        <v>20</v>
      </c>
      <c r="B4" s="17" t="s">
        <v>33</v>
      </c>
      <c r="C4" s="17" t="s">
        <v>33</v>
      </c>
      <c r="D4" s="17" t="s">
        <v>33</v>
      </c>
      <c r="E4" s="17" t="s">
        <v>36</v>
      </c>
      <c r="F4" s="17" t="s">
        <v>36</v>
      </c>
      <c r="G4" s="17" t="s">
        <v>36</v>
      </c>
      <c r="H4" s="17" t="s">
        <v>38</v>
      </c>
      <c r="I4" s="17" t="s">
        <v>38</v>
      </c>
      <c r="J4" s="17" t="s">
        <v>38</v>
      </c>
      <c r="K4" s="17" t="s">
        <v>40</v>
      </c>
      <c r="L4" s="17" t="s">
        <v>40</v>
      </c>
      <c r="M4" s="17" t="s">
        <v>40</v>
      </c>
    </row>
    <row r="5" customFormat="false" ht="30" hidden="false" customHeight="true" outlineLevel="0" collapsed="false">
      <c r="A5" s="15" t="s">
        <v>61</v>
      </c>
      <c r="B5" s="17" t="s">
        <v>62</v>
      </c>
      <c r="C5" s="17" t="s">
        <v>63</v>
      </c>
      <c r="D5" s="17" t="s">
        <v>65</v>
      </c>
      <c r="E5" s="17" t="s">
        <v>62</v>
      </c>
      <c r="F5" s="17" t="s">
        <v>63</v>
      </c>
      <c r="G5" s="17" t="s">
        <v>65</v>
      </c>
      <c r="H5" s="17" t="s">
        <v>62</v>
      </c>
      <c r="I5" s="17" t="s">
        <v>63</v>
      </c>
      <c r="J5" s="17" t="s">
        <v>65</v>
      </c>
      <c r="K5" s="17" t="s">
        <v>62</v>
      </c>
      <c r="L5" s="17" t="s">
        <v>63</v>
      </c>
      <c r="M5" s="17" t="s">
        <v>65</v>
      </c>
    </row>
    <row r="6" customFormat="false" ht="15" hidden="false" customHeight="false" outlineLevel="0" collapsed="false">
      <c r="A6" s="18" t="s">
        <v>84</v>
      </c>
      <c r="B6" s="19"/>
      <c r="C6" s="19"/>
      <c r="D6" s="19"/>
      <c r="E6" s="19"/>
      <c r="F6" s="19"/>
      <c r="G6" s="19"/>
      <c r="H6" s="19"/>
      <c r="I6" s="19"/>
      <c r="J6" s="19"/>
      <c r="K6" s="19"/>
      <c r="L6" s="19"/>
      <c r="M6" s="19"/>
    </row>
    <row r="7" customFormat="false" ht="30" hidden="false" customHeight="true" outlineLevel="0" collapsed="false">
      <c r="A7" s="10" t="s">
        <v>22</v>
      </c>
      <c r="B7" s="20" t="str">
        <f aca="false">IF(INDEX(Inputs!$C$22:$C$37,MATCH(B$4,Inputs!$A$22:$A$37,0))="","",INDEX(Inputs!$C$22:$C$37,MATCH(B$4,Inputs!$A$22:$A$37,0)))</f>
        <v>20oz Gabardine French Terry</v>
      </c>
      <c r="C7" s="20" t="str">
        <f aca="false">IF(INDEX(Inputs!$C$22:$C$37,MATCH(C$4,Inputs!$A$22:$A$37,0))="","",INDEX(Inputs!$C$22:$C$37,MATCH(C$4,Inputs!$A$22:$A$37,0)))</f>
        <v>20oz Gabardine French Terry</v>
      </c>
      <c r="D7" s="20" t="str">
        <f aca="false">IF(INDEX(Inputs!$C$22:$C$37,MATCH(D$4,Inputs!$A$22:$A$37,0))="","",INDEX(Inputs!$C$22:$C$37,MATCH(D$4,Inputs!$A$22:$A$37,0)))</f>
        <v>20oz Gabardine French Terry</v>
      </c>
      <c r="E7" s="20" t="str">
        <f aca="false">IF(INDEX(Inputs!$C$22:$C$37,MATCH(E$4,Inputs!$A$22:$A$37,0))="","",INDEX(Inputs!$C$22:$C$37,MATCH(E$4,Inputs!$A$22:$A$37,0)))</f>
        <v>20oz Gabardine French Terry</v>
      </c>
      <c r="F7" s="20" t="str">
        <f aca="false">IF(INDEX(Inputs!$C$22:$C$37,MATCH(F$4,Inputs!$A$22:$A$37,0))="","",INDEX(Inputs!$C$22:$C$37,MATCH(F$4,Inputs!$A$22:$A$37,0)))</f>
        <v>20oz Gabardine French Terry</v>
      </c>
      <c r="G7" s="20" t="str">
        <f aca="false">IF(INDEX(Inputs!$C$22:$C$37,MATCH(G$4,Inputs!$A$22:$A$37,0))="","",INDEX(Inputs!$C$22:$C$37,MATCH(G$4,Inputs!$A$22:$A$37,0)))</f>
        <v>20oz Gabardine French Terry</v>
      </c>
      <c r="H7" s="20" t="str">
        <f aca="false">IF(INDEX(Inputs!$C$22:$C$37,MATCH(H$4,Inputs!$A$22:$A$37,0))="","",INDEX(Inputs!$C$22:$C$37,MATCH(H$4,Inputs!$A$22:$A$37,0)))</f>
        <v>20oz Gabardine French Terry</v>
      </c>
      <c r="I7" s="20" t="str">
        <f aca="false">IF(INDEX(Inputs!$C$22:$C$37,MATCH(I$4,Inputs!$A$22:$A$37,0))="","",INDEX(Inputs!$C$22:$C$37,MATCH(I$4,Inputs!$A$22:$A$37,0)))</f>
        <v>20oz Gabardine French Terry</v>
      </c>
      <c r="J7" s="20" t="str">
        <f aca="false">IF(INDEX(Inputs!$C$22:$C$37,MATCH(J$4,Inputs!$A$22:$A$37,0))="","",INDEX(Inputs!$C$22:$C$37,MATCH(J$4,Inputs!$A$22:$A$37,0)))</f>
        <v>20oz Gabardine French Terry</v>
      </c>
      <c r="K7" s="20" t="str">
        <f aca="false">IF(INDEX(Inputs!$C$22:$C$37,MATCH(K$4,Inputs!$A$22:$A$37,0))="","",INDEX(Inputs!$C$22:$C$37,MATCH(K$4,Inputs!$A$22:$A$37,0)))</f>
        <v>20oz Gabardine French Terry</v>
      </c>
      <c r="L7" s="20" t="str">
        <f aca="false">IF(INDEX(Inputs!$C$22:$C$37,MATCH(L$4,Inputs!$A$22:$A$37,0))="","",INDEX(Inputs!$C$22:$C$37,MATCH(L$4,Inputs!$A$22:$A$37,0)))</f>
        <v>20oz Gabardine French Terry</v>
      </c>
      <c r="M7" s="20" t="str">
        <f aca="false">IF(INDEX(Inputs!$C$22:$C$37,MATCH(M$4,Inputs!$A$22:$A$37,0))="","",INDEX(Inputs!$C$22:$C$37,MATCH(M$4,Inputs!$A$22:$A$37,0)))</f>
        <v>20oz Gabardine French Terry</v>
      </c>
    </row>
    <row r="8" customFormat="false" ht="15" hidden="false" customHeight="false" outlineLevel="0" collapsed="false">
      <c r="A8" s="10" t="s">
        <v>85</v>
      </c>
      <c r="B8" s="21" t="n">
        <f aca="false">INDEX(Inputs!$D$22:$D$37,MATCH(B$4,Inputs!$A$22:$A$37,0))</f>
        <v>2.16</v>
      </c>
      <c r="C8" s="21" t="n">
        <f aca="false">INDEX(Inputs!$D$22:$D$37,MATCH(C$4,Inputs!$A$22:$A$37,0))</f>
        <v>2.16</v>
      </c>
      <c r="D8" s="21" t="n">
        <f aca="false">INDEX(Inputs!$D$22:$D$37,MATCH(D$4,Inputs!$A$22:$A$37,0))</f>
        <v>2.16</v>
      </c>
      <c r="E8" s="21" t="n">
        <f aca="false">INDEX(Inputs!$D$22:$D$37,MATCH(E$4,Inputs!$A$22:$A$37,0))</f>
        <v>2.06</v>
      </c>
      <c r="F8" s="21" t="n">
        <f aca="false">INDEX(Inputs!$D$22:$D$37,MATCH(F$4,Inputs!$A$22:$A$37,0))</f>
        <v>2.06</v>
      </c>
      <c r="G8" s="21" t="n">
        <f aca="false">INDEX(Inputs!$D$22:$D$37,MATCH(G$4,Inputs!$A$22:$A$37,0))</f>
        <v>2.06</v>
      </c>
      <c r="H8" s="21" t="n">
        <f aca="false">INDEX(Inputs!$D$22:$D$37,MATCH(H$4,Inputs!$A$22:$A$37,0))</f>
        <v>2.16</v>
      </c>
      <c r="I8" s="21" t="n">
        <f aca="false">INDEX(Inputs!$D$22:$D$37,MATCH(I$4,Inputs!$A$22:$A$37,0))</f>
        <v>2.16</v>
      </c>
      <c r="J8" s="21" t="n">
        <f aca="false">INDEX(Inputs!$D$22:$D$37,MATCH(J$4,Inputs!$A$22:$A$37,0))</f>
        <v>2.16</v>
      </c>
      <c r="K8" s="21" t="n">
        <f aca="false">INDEX(Inputs!$D$22:$D$37,MATCH(K$4,Inputs!$A$22:$A$37,0))</f>
        <v>2.06</v>
      </c>
      <c r="L8" s="21" t="n">
        <f aca="false">INDEX(Inputs!$D$22:$D$37,MATCH(L$4,Inputs!$A$22:$A$37,0))</f>
        <v>2.06</v>
      </c>
      <c r="M8" s="21" t="n">
        <f aca="false">INDEX(Inputs!$D$22:$D$37,MATCH(M$4,Inputs!$A$22:$A$37,0))</f>
        <v>2.06</v>
      </c>
    </row>
    <row r="9" customFormat="false" ht="15" hidden="false" customHeight="false" outlineLevel="0" collapsed="false">
      <c r="A9" s="10" t="s">
        <v>86</v>
      </c>
      <c r="B9" s="22" t="n">
        <f aca="false">IF(B7="",0,INDEX(Inputs!$B$6:$B$13,MATCH(B7,Inputs!$A$6:$A$13,0)))</f>
        <v>8.57</v>
      </c>
      <c r="C9" s="22" t="n">
        <f aca="false">IF(C7="",0,INDEX(Inputs!$B$6:$B$13,MATCH(C7,Inputs!$A$6:$A$13,0)))</f>
        <v>8.57</v>
      </c>
      <c r="D9" s="22" t="n">
        <f aca="false">IF(D7="",0,INDEX(Inputs!$B$6:$B$13,MATCH(D7,Inputs!$A$6:$A$13,0)))</f>
        <v>8.57</v>
      </c>
      <c r="E9" s="22" t="n">
        <f aca="false">IF(E7="",0,INDEX(Inputs!$B$6:$B$13,MATCH(E7,Inputs!$A$6:$A$13,0)))</f>
        <v>8.57</v>
      </c>
      <c r="F9" s="22" t="n">
        <f aca="false">IF(F7="",0,INDEX(Inputs!$B$6:$B$13,MATCH(F7,Inputs!$A$6:$A$13,0)))</f>
        <v>8.57</v>
      </c>
      <c r="G9" s="22" t="n">
        <f aca="false">IF(G7="",0,INDEX(Inputs!$B$6:$B$13,MATCH(G7,Inputs!$A$6:$A$13,0)))</f>
        <v>8.57</v>
      </c>
      <c r="H9" s="22" t="n">
        <f aca="false">IF(H7="",0,INDEX(Inputs!$B$6:$B$13,MATCH(H7,Inputs!$A$6:$A$13,0)))</f>
        <v>8.57</v>
      </c>
      <c r="I9" s="22" t="n">
        <f aca="false">IF(I7="",0,INDEX(Inputs!$B$6:$B$13,MATCH(I7,Inputs!$A$6:$A$13,0)))</f>
        <v>8.57</v>
      </c>
      <c r="J9" s="22" t="n">
        <f aca="false">IF(J7="",0,INDEX(Inputs!$B$6:$B$13,MATCH(J7,Inputs!$A$6:$A$13,0)))</f>
        <v>8.57</v>
      </c>
      <c r="K9" s="22" t="n">
        <f aca="false">IF(K7="",0,INDEX(Inputs!$B$6:$B$13,MATCH(K7,Inputs!$A$6:$A$13,0)))</f>
        <v>8.57</v>
      </c>
      <c r="L9" s="22" t="n">
        <f aca="false">IF(L7="",0,INDEX(Inputs!$B$6:$B$13,MATCH(L7,Inputs!$A$6:$A$13,0)))</f>
        <v>8.57</v>
      </c>
      <c r="M9" s="22" t="n">
        <f aca="false">IF(M7="",0,INDEX(Inputs!$B$6:$B$13,MATCH(M7,Inputs!$A$6:$A$13,0)))</f>
        <v>8.57</v>
      </c>
    </row>
    <row r="10" customFormat="false" ht="15" hidden="false" customHeight="false" outlineLevel="0" collapsed="false">
      <c r="A10" s="15" t="s">
        <v>87</v>
      </c>
      <c r="B10" s="23" t="n">
        <f aca="false">B8*B9</f>
        <v>18.5112</v>
      </c>
      <c r="C10" s="23" t="n">
        <f aca="false">C8*C9</f>
        <v>18.5112</v>
      </c>
      <c r="D10" s="23" t="n">
        <f aca="false">D8*D9</f>
        <v>18.5112</v>
      </c>
      <c r="E10" s="23" t="n">
        <f aca="false">E8*E9</f>
        <v>17.6542</v>
      </c>
      <c r="F10" s="23" t="n">
        <f aca="false">F8*F9</f>
        <v>17.6542</v>
      </c>
      <c r="G10" s="23" t="n">
        <f aca="false">G8*G9</f>
        <v>17.6542</v>
      </c>
      <c r="H10" s="23" t="n">
        <f aca="false">H8*H9</f>
        <v>18.5112</v>
      </c>
      <c r="I10" s="23" t="n">
        <f aca="false">I8*I9</f>
        <v>18.5112</v>
      </c>
      <c r="J10" s="23" t="n">
        <f aca="false">J8*J9</f>
        <v>18.5112</v>
      </c>
      <c r="K10" s="23" t="n">
        <f aca="false">K8*K9</f>
        <v>17.6542</v>
      </c>
      <c r="L10" s="23" t="n">
        <f aca="false">L8*L9</f>
        <v>17.6542</v>
      </c>
      <c r="M10" s="23" t="n">
        <f aca="false">M8*M9</f>
        <v>17.6542</v>
      </c>
    </row>
    <row r="11" customFormat="false" ht="15" hidden="false" customHeight="false" outlineLevel="0" collapsed="false">
      <c r="A11" s="18" t="s">
        <v>88</v>
      </c>
      <c r="B11" s="19"/>
      <c r="C11" s="19"/>
      <c r="D11" s="19"/>
      <c r="E11" s="19"/>
      <c r="F11" s="19"/>
      <c r="G11" s="19"/>
      <c r="H11" s="19"/>
      <c r="I11" s="19"/>
      <c r="J11" s="19"/>
      <c r="K11" s="19"/>
      <c r="L11" s="19"/>
      <c r="M11" s="19"/>
    </row>
    <row r="12" customFormat="false" ht="15" hidden="false" customHeight="false" outlineLevel="0" collapsed="false">
      <c r="A12" s="10" t="s">
        <v>24</v>
      </c>
      <c r="B12" s="20" t="str">
        <f aca="false">IF(INDEX(Inputs!$E$22:$E$37,MATCH(B$4,Inputs!$A$22:$A$37,0))="","",INDEX(Inputs!$E$22:$E$37,MATCH(B$4,Inputs!$A$22:$A$37,0)))</f>
        <v>Rib Knit</v>
      </c>
      <c r="C12" s="20" t="str">
        <f aca="false">IF(INDEX(Inputs!$E$22:$E$37,MATCH(C$4,Inputs!$A$22:$A$37,0))="","",INDEX(Inputs!$E$22:$E$37,MATCH(C$4,Inputs!$A$22:$A$37,0)))</f>
        <v>Rib Knit</v>
      </c>
      <c r="D12" s="20" t="str">
        <f aca="false">IF(INDEX(Inputs!$E$22:$E$37,MATCH(D$4,Inputs!$A$22:$A$37,0))="","",INDEX(Inputs!$E$22:$E$37,MATCH(D$4,Inputs!$A$22:$A$37,0)))</f>
        <v>Rib Knit</v>
      </c>
      <c r="E12" s="20" t="str">
        <f aca="false">IF(INDEX(Inputs!$E$22:$E$37,MATCH(E$4,Inputs!$A$22:$A$37,0))="","",INDEX(Inputs!$E$22:$E$37,MATCH(E$4,Inputs!$A$22:$A$37,0)))</f>
        <v>Rib Knit</v>
      </c>
      <c r="F12" s="20" t="str">
        <f aca="false">IF(INDEX(Inputs!$E$22:$E$37,MATCH(F$4,Inputs!$A$22:$A$37,0))="","",INDEX(Inputs!$E$22:$E$37,MATCH(F$4,Inputs!$A$22:$A$37,0)))</f>
        <v>Rib Knit</v>
      </c>
      <c r="G12" s="20" t="str">
        <f aca="false">IF(INDEX(Inputs!$E$22:$E$37,MATCH(G$4,Inputs!$A$22:$A$37,0))="","",INDEX(Inputs!$E$22:$E$37,MATCH(G$4,Inputs!$A$22:$A$37,0)))</f>
        <v>Rib Knit</v>
      </c>
      <c r="H12" s="20" t="str">
        <f aca="false">IF(INDEX(Inputs!$E$22:$E$37,MATCH(H$4,Inputs!$A$22:$A$37,0))="","",INDEX(Inputs!$E$22:$E$37,MATCH(H$4,Inputs!$A$22:$A$37,0)))</f>
        <v>Rib Knit</v>
      </c>
      <c r="I12" s="20" t="str">
        <f aca="false">IF(INDEX(Inputs!$E$22:$E$37,MATCH(I$4,Inputs!$A$22:$A$37,0))="","",INDEX(Inputs!$E$22:$E$37,MATCH(I$4,Inputs!$A$22:$A$37,0)))</f>
        <v>Rib Knit</v>
      </c>
      <c r="J12" s="20" t="str">
        <f aca="false">IF(INDEX(Inputs!$E$22:$E$37,MATCH(J$4,Inputs!$A$22:$A$37,0))="","",INDEX(Inputs!$E$22:$E$37,MATCH(J$4,Inputs!$A$22:$A$37,0)))</f>
        <v>Rib Knit</v>
      </c>
      <c r="K12" s="20" t="str">
        <f aca="false">IF(INDEX(Inputs!$E$22:$E$37,MATCH(K$4,Inputs!$A$22:$A$37,0))="","",INDEX(Inputs!$E$22:$E$37,MATCH(K$4,Inputs!$A$22:$A$37,0)))</f>
        <v>Rib Knit</v>
      </c>
      <c r="L12" s="20" t="str">
        <f aca="false">IF(INDEX(Inputs!$E$22:$E$37,MATCH(L$4,Inputs!$A$22:$A$37,0))="","",INDEX(Inputs!$E$22:$E$37,MATCH(L$4,Inputs!$A$22:$A$37,0)))</f>
        <v>Rib Knit</v>
      </c>
      <c r="M12" s="20" t="str">
        <f aca="false">IF(INDEX(Inputs!$E$22:$E$37,MATCH(M$4,Inputs!$A$22:$A$37,0))="","",INDEX(Inputs!$E$22:$E$37,MATCH(M$4,Inputs!$A$22:$A$37,0)))</f>
        <v>Rib Knit</v>
      </c>
    </row>
    <row r="13" customFormat="false" ht="15" hidden="false" customHeight="false" outlineLevel="0" collapsed="false">
      <c r="A13" s="10" t="s">
        <v>89</v>
      </c>
      <c r="B13" s="21" t="n">
        <f aca="false">INDEX(Inputs!$F$22:$F$37,MATCH(B$4,Inputs!$A$22:$A$37,0))</f>
        <v>0.75</v>
      </c>
      <c r="C13" s="21" t="n">
        <f aca="false">INDEX(Inputs!$F$22:$F$37,MATCH(C$4,Inputs!$A$22:$A$37,0))</f>
        <v>0.75</v>
      </c>
      <c r="D13" s="21" t="n">
        <f aca="false">INDEX(Inputs!$F$22:$F$37,MATCH(D$4,Inputs!$A$22:$A$37,0))</f>
        <v>0.75</v>
      </c>
      <c r="E13" s="21" t="n">
        <f aca="false">INDEX(Inputs!$F$22:$F$37,MATCH(E$4,Inputs!$A$22:$A$37,0))</f>
        <v>0.75</v>
      </c>
      <c r="F13" s="21" t="n">
        <f aca="false">INDEX(Inputs!$F$22:$F$37,MATCH(F$4,Inputs!$A$22:$A$37,0))</f>
        <v>0.75</v>
      </c>
      <c r="G13" s="21" t="n">
        <f aca="false">INDEX(Inputs!$F$22:$F$37,MATCH(G$4,Inputs!$A$22:$A$37,0))</f>
        <v>0.75</v>
      </c>
      <c r="H13" s="21" t="n">
        <f aca="false">INDEX(Inputs!$F$22:$F$37,MATCH(H$4,Inputs!$A$22:$A$37,0))</f>
        <v>0.75</v>
      </c>
      <c r="I13" s="21" t="n">
        <f aca="false">INDEX(Inputs!$F$22:$F$37,MATCH(I$4,Inputs!$A$22:$A$37,0))</f>
        <v>0.75</v>
      </c>
      <c r="J13" s="21" t="n">
        <f aca="false">INDEX(Inputs!$F$22:$F$37,MATCH(J$4,Inputs!$A$22:$A$37,0))</f>
        <v>0.75</v>
      </c>
      <c r="K13" s="21" t="n">
        <f aca="false">INDEX(Inputs!$F$22:$F$37,MATCH(K$4,Inputs!$A$22:$A$37,0))</f>
        <v>0.75</v>
      </c>
      <c r="L13" s="21" t="n">
        <f aca="false">INDEX(Inputs!$F$22:$F$37,MATCH(L$4,Inputs!$A$22:$A$37,0))</f>
        <v>0.75</v>
      </c>
      <c r="M13" s="21" t="n">
        <f aca="false">INDEX(Inputs!$F$22:$F$37,MATCH(M$4,Inputs!$A$22:$A$37,0))</f>
        <v>0.75</v>
      </c>
    </row>
    <row r="14" customFormat="false" ht="15" hidden="false" customHeight="false" outlineLevel="0" collapsed="false">
      <c r="A14" s="10" t="s">
        <v>90</v>
      </c>
      <c r="B14" s="22" t="n">
        <f aca="false">IF(B12="",0,INDEX(Inputs!$B$6:$B$13,MATCH(B12,Inputs!$A$6:$A$13,0)))</f>
        <v>6.95</v>
      </c>
      <c r="C14" s="22" t="n">
        <f aca="false">IF(C12="",0,INDEX(Inputs!$B$6:$B$13,MATCH(C12,Inputs!$A$6:$A$13,0)))</f>
        <v>6.95</v>
      </c>
      <c r="D14" s="22" t="n">
        <f aca="false">IF(D12="",0,INDEX(Inputs!$B$6:$B$13,MATCH(D12,Inputs!$A$6:$A$13,0)))</f>
        <v>6.95</v>
      </c>
      <c r="E14" s="22" t="n">
        <f aca="false">IF(E12="",0,INDEX(Inputs!$B$6:$B$13,MATCH(E12,Inputs!$A$6:$A$13,0)))</f>
        <v>6.95</v>
      </c>
      <c r="F14" s="22" t="n">
        <f aca="false">IF(F12="",0,INDEX(Inputs!$B$6:$B$13,MATCH(F12,Inputs!$A$6:$A$13,0)))</f>
        <v>6.95</v>
      </c>
      <c r="G14" s="22" t="n">
        <f aca="false">IF(G12="",0,INDEX(Inputs!$B$6:$B$13,MATCH(G12,Inputs!$A$6:$A$13,0)))</f>
        <v>6.95</v>
      </c>
      <c r="H14" s="22" t="n">
        <f aca="false">IF(H12="",0,INDEX(Inputs!$B$6:$B$13,MATCH(H12,Inputs!$A$6:$A$13,0)))</f>
        <v>6.95</v>
      </c>
      <c r="I14" s="22" t="n">
        <f aca="false">IF(I12="",0,INDEX(Inputs!$B$6:$B$13,MATCH(I12,Inputs!$A$6:$A$13,0)))</f>
        <v>6.95</v>
      </c>
      <c r="J14" s="22" t="n">
        <f aca="false">IF(J12="",0,INDEX(Inputs!$B$6:$B$13,MATCH(J12,Inputs!$A$6:$A$13,0)))</f>
        <v>6.95</v>
      </c>
      <c r="K14" s="22" t="n">
        <f aca="false">IF(K12="",0,INDEX(Inputs!$B$6:$B$13,MATCH(K12,Inputs!$A$6:$A$13,0)))</f>
        <v>6.95</v>
      </c>
      <c r="L14" s="22" t="n">
        <f aca="false">IF(L12="",0,INDEX(Inputs!$B$6:$B$13,MATCH(L12,Inputs!$A$6:$A$13,0)))</f>
        <v>6.95</v>
      </c>
      <c r="M14" s="22" t="n">
        <f aca="false">IF(M12="",0,INDEX(Inputs!$B$6:$B$13,MATCH(M12,Inputs!$A$6:$A$13,0)))</f>
        <v>6.95</v>
      </c>
    </row>
    <row r="15" customFormat="false" ht="15" hidden="false" customHeight="false" outlineLevel="0" collapsed="false">
      <c r="A15" s="15" t="s">
        <v>91</v>
      </c>
      <c r="B15" s="23" t="n">
        <f aca="false">B13*B14</f>
        <v>5.2125</v>
      </c>
      <c r="C15" s="23" t="n">
        <f aca="false">C13*C14</f>
        <v>5.2125</v>
      </c>
      <c r="D15" s="23" t="n">
        <f aca="false">D13*D14</f>
        <v>5.2125</v>
      </c>
      <c r="E15" s="23" t="n">
        <f aca="false">E13*E14</f>
        <v>5.2125</v>
      </c>
      <c r="F15" s="23" t="n">
        <f aca="false">F13*F14</f>
        <v>5.2125</v>
      </c>
      <c r="G15" s="23" t="n">
        <f aca="false">G13*G14</f>
        <v>5.2125</v>
      </c>
      <c r="H15" s="23" t="n">
        <f aca="false">H13*H14</f>
        <v>5.2125</v>
      </c>
      <c r="I15" s="23" t="n">
        <f aca="false">I13*I14</f>
        <v>5.2125</v>
      </c>
      <c r="J15" s="23" t="n">
        <f aca="false">J13*J14</f>
        <v>5.2125</v>
      </c>
      <c r="K15" s="23" t="n">
        <f aca="false">K13*K14</f>
        <v>5.2125</v>
      </c>
      <c r="L15" s="23" t="n">
        <f aca="false">L13*L14</f>
        <v>5.2125</v>
      </c>
      <c r="M15" s="23" t="n">
        <f aca="false">M13*M14</f>
        <v>5.2125</v>
      </c>
    </row>
    <row r="16" customFormat="false" ht="15" hidden="false" customHeight="false" outlineLevel="0" collapsed="false">
      <c r="A16" s="18" t="s">
        <v>92</v>
      </c>
      <c r="B16" s="19"/>
      <c r="C16" s="19"/>
      <c r="D16" s="19"/>
      <c r="E16" s="19"/>
      <c r="F16" s="19"/>
      <c r="G16" s="19"/>
      <c r="H16" s="19"/>
      <c r="I16" s="19"/>
      <c r="J16" s="19"/>
      <c r="K16" s="19"/>
      <c r="L16" s="19"/>
      <c r="M16" s="19"/>
    </row>
    <row r="17" customFormat="false" ht="15" hidden="false" customHeight="false" outlineLevel="0" collapsed="false">
      <c r="A17" s="10" t="s">
        <v>93</v>
      </c>
      <c r="B17" s="21" t="n">
        <f aca="false">INDEX(Inputs!$G$22:$G$37,MATCH(B$4,Inputs!$A$22:$A$37,0))</f>
        <v>0</v>
      </c>
      <c r="C17" s="21" t="n">
        <f aca="false">INDEX(Inputs!$G$22:$G$37,MATCH(C$4,Inputs!$A$22:$A$37,0))</f>
        <v>0</v>
      </c>
      <c r="D17" s="21" t="n">
        <f aca="false">INDEX(Inputs!$G$22:$G$37,MATCH(D$4,Inputs!$A$22:$A$37,0))</f>
        <v>0</v>
      </c>
      <c r="E17" s="21" t="n">
        <f aca="false">INDEX(Inputs!$G$22:$G$37,MATCH(E$4,Inputs!$A$22:$A$37,0))</f>
        <v>0</v>
      </c>
      <c r="F17" s="21" t="n">
        <f aca="false">INDEX(Inputs!$G$22:$G$37,MATCH(F$4,Inputs!$A$22:$A$37,0))</f>
        <v>0</v>
      </c>
      <c r="G17" s="21" t="n">
        <f aca="false">INDEX(Inputs!$G$22:$G$37,MATCH(G$4,Inputs!$A$22:$A$37,0))</f>
        <v>0</v>
      </c>
      <c r="H17" s="21" t="n">
        <f aca="false">INDEX(Inputs!$G$22:$G$37,MATCH(H$4,Inputs!$A$22:$A$37,0))</f>
        <v>0</v>
      </c>
      <c r="I17" s="21" t="n">
        <f aca="false">INDEX(Inputs!$G$22:$G$37,MATCH(I$4,Inputs!$A$22:$A$37,0))</f>
        <v>0</v>
      </c>
      <c r="J17" s="21" t="n">
        <f aca="false">INDEX(Inputs!$G$22:$G$37,MATCH(J$4,Inputs!$A$22:$A$37,0))</f>
        <v>0</v>
      </c>
      <c r="K17" s="21" t="n">
        <f aca="false">INDEX(Inputs!$G$22:$G$37,MATCH(K$4,Inputs!$A$22:$A$37,0))</f>
        <v>0</v>
      </c>
      <c r="L17" s="21" t="n">
        <f aca="false">INDEX(Inputs!$G$22:$G$37,MATCH(L$4,Inputs!$A$22:$A$37,0))</f>
        <v>0</v>
      </c>
      <c r="M17" s="21" t="n">
        <f aca="false">INDEX(Inputs!$G$22:$G$37,MATCH(M$4,Inputs!$A$22:$A$37,0))</f>
        <v>0</v>
      </c>
    </row>
    <row r="18" customFormat="false" ht="15" hidden="false" customHeight="false" outlineLevel="0" collapsed="false">
      <c r="A18" s="10" t="s">
        <v>94</v>
      </c>
      <c r="B18" s="22" t="n">
        <f aca="false">Inputs!$B$17</f>
        <v>0.55</v>
      </c>
      <c r="C18" s="22" t="n">
        <f aca="false">Inputs!$B$17</f>
        <v>0.55</v>
      </c>
      <c r="D18" s="22" t="n">
        <f aca="false">Inputs!$B$17</f>
        <v>0.55</v>
      </c>
      <c r="E18" s="22" t="n">
        <f aca="false">Inputs!$B$17</f>
        <v>0.55</v>
      </c>
      <c r="F18" s="22" t="n">
        <f aca="false">Inputs!$B$17</f>
        <v>0.55</v>
      </c>
      <c r="G18" s="22" t="n">
        <f aca="false">Inputs!$B$17</f>
        <v>0.55</v>
      </c>
      <c r="H18" s="22" t="n">
        <f aca="false">Inputs!$B$17</f>
        <v>0.55</v>
      </c>
      <c r="I18" s="22" t="n">
        <f aca="false">Inputs!$B$17</f>
        <v>0.55</v>
      </c>
      <c r="J18" s="22" t="n">
        <f aca="false">Inputs!$B$17</f>
        <v>0.55</v>
      </c>
      <c r="K18" s="22" t="n">
        <f aca="false">Inputs!$B$17</f>
        <v>0.55</v>
      </c>
      <c r="L18" s="22" t="n">
        <f aca="false">Inputs!$B$17</f>
        <v>0.55</v>
      </c>
      <c r="M18" s="22" t="n">
        <f aca="false">Inputs!$B$17</f>
        <v>0.55</v>
      </c>
    </row>
    <row r="19" customFormat="false" ht="15" hidden="false" customHeight="false" outlineLevel="0" collapsed="false">
      <c r="A19" s="15" t="s">
        <v>95</v>
      </c>
      <c r="B19" s="23" t="n">
        <f aca="false">B17*B18</f>
        <v>0</v>
      </c>
      <c r="C19" s="23" t="n">
        <f aca="false">C17*C18</f>
        <v>0</v>
      </c>
      <c r="D19" s="23" t="n">
        <f aca="false">D17*D18</f>
        <v>0</v>
      </c>
      <c r="E19" s="23" t="n">
        <f aca="false">E17*E18</f>
        <v>0</v>
      </c>
      <c r="F19" s="23" t="n">
        <f aca="false">F17*F18</f>
        <v>0</v>
      </c>
      <c r="G19" s="23" t="n">
        <f aca="false">G17*G18</f>
        <v>0</v>
      </c>
      <c r="H19" s="23" t="n">
        <f aca="false">H17*H18</f>
        <v>0</v>
      </c>
      <c r="I19" s="23" t="n">
        <f aca="false">I17*I18</f>
        <v>0</v>
      </c>
      <c r="J19" s="23" t="n">
        <f aca="false">J17*J18</f>
        <v>0</v>
      </c>
      <c r="K19" s="23" t="n">
        <f aca="false">K17*K18</f>
        <v>0</v>
      </c>
      <c r="L19" s="23" t="n">
        <f aca="false">L17*L18</f>
        <v>0</v>
      </c>
      <c r="M19" s="23" t="n">
        <f aca="false">M17*M18</f>
        <v>0</v>
      </c>
    </row>
    <row r="20" customFormat="false" ht="15" hidden="false" customHeight="false" outlineLevel="0" collapsed="false">
      <c r="A20" s="10" t="s">
        <v>96</v>
      </c>
      <c r="B20" s="21" t="n">
        <f aca="false">INDEX(Inputs!$H$22:$H$37,MATCH(B$4,Inputs!$A$22:$A$37,0))</f>
        <v>0</v>
      </c>
      <c r="C20" s="21" t="n">
        <f aca="false">INDEX(Inputs!$H$22:$H$37,MATCH(C$4,Inputs!$A$22:$A$37,0))</f>
        <v>0</v>
      </c>
      <c r="D20" s="21" t="n">
        <f aca="false">INDEX(Inputs!$H$22:$H$37,MATCH(D$4,Inputs!$A$22:$A$37,0))</f>
        <v>0</v>
      </c>
      <c r="E20" s="21" t="n">
        <f aca="false">INDEX(Inputs!$H$22:$H$37,MATCH(E$4,Inputs!$A$22:$A$37,0))</f>
        <v>0</v>
      </c>
      <c r="F20" s="21" t="n">
        <f aca="false">INDEX(Inputs!$H$22:$H$37,MATCH(F$4,Inputs!$A$22:$A$37,0))</f>
        <v>0</v>
      </c>
      <c r="G20" s="21" t="n">
        <f aca="false">INDEX(Inputs!$H$22:$H$37,MATCH(G$4,Inputs!$A$22:$A$37,0))</f>
        <v>0</v>
      </c>
      <c r="H20" s="21" t="n">
        <f aca="false">INDEX(Inputs!$H$22:$H$37,MATCH(H$4,Inputs!$A$22:$A$37,0))</f>
        <v>0</v>
      </c>
      <c r="I20" s="21" t="n">
        <f aca="false">INDEX(Inputs!$H$22:$H$37,MATCH(I$4,Inputs!$A$22:$A$37,0))</f>
        <v>0</v>
      </c>
      <c r="J20" s="21" t="n">
        <f aca="false">INDEX(Inputs!$H$22:$H$37,MATCH(J$4,Inputs!$A$22:$A$37,0))</f>
        <v>0</v>
      </c>
      <c r="K20" s="21" t="n">
        <f aca="false">INDEX(Inputs!$H$22:$H$37,MATCH(K$4,Inputs!$A$22:$A$37,0))</f>
        <v>0</v>
      </c>
      <c r="L20" s="21" t="n">
        <f aca="false">INDEX(Inputs!$H$22:$H$37,MATCH(L$4,Inputs!$A$22:$A$37,0))</f>
        <v>0</v>
      </c>
      <c r="M20" s="21" t="n">
        <f aca="false">INDEX(Inputs!$H$22:$H$37,MATCH(M$4,Inputs!$A$22:$A$37,0))</f>
        <v>0</v>
      </c>
    </row>
    <row r="21" customFormat="false" ht="15" hidden="false" customHeight="false" outlineLevel="0" collapsed="false">
      <c r="A21" s="10" t="s">
        <v>97</v>
      </c>
      <c r="B21" s="22" t="n">
        <f aca="false">Inputs!$B$18</f>
        <v>1</v>
      </c>
      <c r="C21" s="22" t="n">
        <f aca="false">Inputs!$B$18</f>
        <v>1</v>
      </c>
      <c r="D21" s="22" t="n">
        <f aca="false">Inputs!$B$18</f>
        <v>1</v>
      </c>
      <c r="E21" s="22" t="n">
        <f aca="false">Inputs!$B$18</f>
        <v>1</v>
      </c>
      <c r="F21" s="22" t="n">
        <f aca="false">Inputs!$B$18</f>
        <v>1</v>
      </c>
      <c r="G21" s="22" t="n">
        <f aca="false">Inputs!$B$18</f>
        <v>1</v>
      </c>
      <c r="H21" s="22" t="n">
        <f aca="false">Inputs!$B$18</f>
        <v>1</v>
      </c>
      <c r="I21" s="22" t="n">
        <f aca="false">Inputs!$B$18</f>
        <v>1</v>
      </c>
      <c r="J21" s="22" t="n">
        <f aca="false">Inputs!$B$18</f>
        <v>1</v>
      </c>
      <c r="K21" s="22" t="n">
        <f aca="false">Inputs!$B$18</f>
        <v>1</v>
      </c>
      <c r="L21" s="22" t="n">
        <f aca="false">Inputs!$B$18</f>
        <v>1</v>
      </c>
      <c r="M21" s="22" t="n">
        <f aca="false">Inputs!$B$18</f>
        <v>1</v>
      </c>
    </row>
    <row r="22" customFormat="false" ht="15" hidden="false" customHeight="false" outlineLevel="0" collapsed="false">
      <c r="A22" s="15" t="s">
        <v>98</v>
      </c>
      <c r="B22" s="23" t="n">
        <f aca="false">B20*B21</f>
        <v>0</v>
      </c>
      <c r="C22" s="23" t="n">
        <f aca="false">C20*C21</f>
        <v>0</v>
      </c>
      <c r="D22" s="23" t="n">
        <f aca="false">D20*D21</f>
        <v>0</v>
      </c>
      <c r="E22" s="23" t="n">
        <f aca="false">E20*E21</f>
        <v>0</v>
      </c>
      <c r="F22" s="23" t="n">
        <f aca="false">F20*F21</f>
        <v>0</v>
      </c>
      <c r="G22" s="23" t="n">
        <f aca="false">G20*G21</f>
        <v>0</v>
      </c>
      <c r="H22" s="23" t="n">
        <f aca="false">H20*H21</f>
        <v>0</v>
      </c>
      <c r="I22" s="23" t="n">
        <f aca="false">I20*I21</f>
        <v>0</v>
      </c>
      <c r="J22" s="23" t="n">
        <f aca="false">J20*J21</f>
        <v>0</v>
      </c>
      <c r="K22" s="23" t="n">
        <f aca="false">K20*K21</f>
        <v>0</v>
      </c>
      <c r="L22" s="23" t="n">
        <f aca="false">L20*L21</f>
        <v>0</v>
      </c>
      <c r="M22" s="23" t="n">
        <f aca="false">M20*M21</f>
        <v>0</v>
      </c>
    </row>
    <row r="23" customFormat="false" ht="15" hidden="false" customHeight="false" outlineLevel="0" collapsed="false">
      <c r="A23" s="18" t="s">
        <v>99</v>
      </c>
      <c r="B23" s="19"/>
      <c r="C23" s="19"/>
      <c r="D23" s="19"/>
      <c r="E23" s="19"/>
      <c r="F23" s="19"/>
      <c r="G23" s="19"/>
      <c r="H23" s="19"/>
      <c r="I23" s="19"/>
      <c r="J23" s="19"/>
      <c r="K23" s="19"/>
      <c r="L23" s="19"/>
      <c r="M23" s="19"/>
    </row>
    <row r="24" customFormat="false" ht="15" hidden="false" customHeight="false" outlineLevel="0" collapsed="false">
      <c r="A24" s="10" t="s">
        <v>100</v>
      </c>
      <c r="B24" s="22" t="n">
        <f aca="false">IF(B5="",0,INDEX(Inputs!$B$43:$E$48,MATCH(B5,Inputs!$A$43:$A$48,0),MATCH(INDEX(Inputs!$B$22:$B$37,MATCH(B$4,Inputs!$A$22:$A$37,0)),Inputs!$B$42:$E$42,0)))</f>
        <v>23</v>
      </c>
      <c r="C24" s="22" t="n">
        <f aca="false">IF(C5="",0,INDEX(Inputs!$B$43:$E$48,MATCH(C5,Inputs!$A$43:$A$48,0),MATCH(INDEX(Inputs!$B$22:$B$37,MATCH(C$4,Inputs!$A$22:$A$37,0)),Inputs!$B$42:$E$42,0)))</f>
        <v>12</v>
      </c>
      <c r="D24" s="22" t="n">
        <f aca="false">IF(D5="",0,INDEX(Inputs!$B$43:$E$48,MATCH(D5,Inputs!$A$43:$A$48,0),MATCH(INDEX(Inputs!$B$22:$B$37,MATCH(D$4,Inputs!$A$22:$A$37,0)),Inputs!$B$42:$E$42,0)))</f>
        <v>4.75</v>
      </c>
      <c r="E24" s="22" t="n">
        <f aca="false">IF(E5="",0,INDEX(Inputs!$B$43:$E$48,MATCH(E5,Inputs!$A$43:$A$48,0),MATCH(INDEX(Inputs!$B$22:$B$37,MATCH(E$4,Inputs!$A$22:$A$37,0)),Inputs!$B$42:$E$42,0)))</f>
        <v>23</v>
      </c>
      <c r="F24" s="22" t="n">
        <f aca="false">IF(F5="",0,INDEX(Inputs!$B$43:$E$48,MATCH(F5,Inputs!$A$43:$A$48,0),MATCH(INDEX(Inputs!$B$22:$B$37,MATCH(F$4,Inputs!$A$22:$A$37,0)),Inputs!$B$42:$E$42,0)))</f>
        <v>12</v>
      </c>
      <c r="G24" s="22" t="n">
        <f aca="false">IF(G5="",0,INDEX(Inputs!$B$43:$E$48,MATCH(G5,Inputs!$A$43:$A$48,0),MATCH(INDEX(Inputs!$B$22:$B$37,MATCH(G$4,Inputs!$A$22:$A$37,0)),Inputs!$B$42:$E$42,0)))</f>
        <v>4.75</v>
      </c>
      <c r="H24" s="22" t="n">
        <f aca="false">IF(H5="",0,INDEX(Inputs!$B$43:$E$48,MATCH(H5,Inputs!$A$43:$A$48,0),MATCH(INDEX(Inputs!$B$22:$B$37,MATCH(H$4,Inputs!$A$22:$A$37,0)),Inputs!$B$42:$E$42,0)))</f>
        <v>23</v>
      </c>
      <c r="I24" s="22" t="n">
        <f aca="false">IF(I5="",0,INDEX(Inputs!$B$43:$E$48,MATCH(I5,Inputs!$A$43:$A$48,0),MATCH(INDEX(Inputs!$B$22:$B$37,MATCH(I$4,Inputs!$A$22:$A$37,0)),Inputs!$B$42:$E$42,0)))</f>
        <v>12</v>
      </c>
      <c r="J24" s="22" t="n">
        <f aca="false">IF(J5="",0,INDEX(Inputs!$B$43:$E$48,MATCH(J5,Inputs!$A$43:$A$48,0),MATCH(INDEX(Inputs!$B$22:$B$37,MATCH(J$4,Inputs!$A$22:$A$37,0)),Inputs!$B$42:$E$42,0)))</f>
        <v>4.75</v>
      </c>
      <c r="K24" s="22" t="n">
        <f aca="false">IF(K5="",0,INDEX(Inputs!$B$43:$E$48,MATCH(K5,Inputs!$A$43:$A$48,0),MATCH(INDEX(Inputs!$B$22:$B$37,MATCH(K$4,Inputs!$A$22:$A$37,0)),Inputs!$B$42:$E$42,0)))</f>
        <v>23</v>
      </c>
      <c r="L24" s="22" t="n">
        <f aca="false">IF(L5="",0,INDEX(Inputs!$B$43:$E$48,MATCH(L5,Inputs!$A$43:$A$48,0),MATCH(INDEX(Inputs!$B$22:$B$37,MATCH(L$4,Inputs!$A$22:$A$37,0)),Inputs!$B$42:$E$42,0)))</f>
        <v>12</v>
      </c>
      <c r="M24" s="22" t="n">
        <f aca="false">IF(M5="",0,INDEX(Inputs!$B$43:$E$48,MATCH(M5,Inputs!$A$43:$A$48,0),MATCH(INDEX(Inputs!$B$22:$B$37,MATCH(M$4,Inputs!$A$22:$A$37,0)),Inputs!$B$42:$E$42,0)))</f>
        <v>4.75</v>
      </c>
    </row>
    <row r="25" customFormat="false" ht="15" hidden="false" customHeight="false" outlineLevel="0" collapsed="false">
      <c r="A25" s="10" t="s">
        <v>101</v>
      </c>
      <c r="B25" s="22" t="n">
        <f aca="false">INDEX(Inputs!$K$22:$K$37,MATCH(B$4,Inputs!$A$22:$A$37,0))</f>
        <v>2.5</v>
      </c>
      <c r="C25" s="22" t="n">
        <f aca="false">INDEX(Inputs!$K$22:$K$37,MATCH(C$4,Inputs!$A$22:$A$37,0))</f>
        <v>2.5</v>
      </c>
      <c r="D25" s="22" t="n">
        <f aca="false">INDEX(Inputs!$K$22:$K$37,MATCH(D$4,Inputs!$A$22:$A$37,0))</f>
        <v>2.5</v>
      </c>
      <c r="E25" s="22" t="n">
        <f aca="false">INDEX(Inputs!$K$22:$K$37,MATCH(E$4,Inputs!$A$22:$A$37,0))</f>
        <v>2.5</v>
      </c>
      <c r="F25" s="22" t="n">
        <f aca="false">INDEX(Inputs!$K$22:$K$37,MATCH(F$4,Inputs!$A$22:$A$37,0))</f>
        <v>2.5</v>
      </c>
      <c r="G25" s="22" t="n">
        <f aca="false">INDEX(Inputs!$K$22:$K$37,MATCH(G$4,Inputs!$A$22:$A$37,0))</f>
        <v>2.5</v>
      </c>
      <c r="H25" s="22" t="n">
        <f aca="false">INDEX(Inputs!$K$22:$K$37,MATCH(H$4,Inputs!$A$22:$A$37,0))</f>
        <v>2.5</v>
      </c>
      <c r="I25" s="22" t="n">
        <f aca="false">INDEX(Inputs!$K$22:$K$37,MATCH(I$4,Inputs!$A$22:$A$37,0))</f>
        <v>2.5</v>
      </c>
      <c r="J25" s="22" t="n">
        <f aca="false">INDEX(Inputs!$K$22:$K$37,MATCH(J$4,Inputs!$A$22:$A$37,0))</f>
        <v>2.5</v>
      </c>
      <c r="K25" s="22" t="n">
        <f aca="false">INDEX(Inputs!$K$22:$K$37,MATCH(K$4,Inputs!$A$22:$A$37,0))</f>
        <v>2.5</v>
      </c>
      <c r="L25" s="22" t="n">
        <f aca="false">INDEX(Inputs!$K$22:$K$37,MATCH(L$4,Inputs!$A$22:$A$37,0))</f>
        <v>2.5</v>
      </c>
      <c r="M25" s="22" t="n">
        <f aca="false">INDEX(Inputs!$K$22:$K$37,MATCH(M$4,Inputs!$A$22:$A$37,0))</f>
        <v>2.5</v>
      </c>
    </row>
    <row r="26" customFormat="false" ht="15" hidden="false" customHeight="false" outlineLevel="0" collapsed="false">
      <c r="A26" s="10" t="s">
        <v>102</v>
      </c>
      <c r="B26" s="22" t="n">
        <f aca="false">INDEX(Inputs!$J$22:$J$37,MATCH(B$4,Inputs!$A$22:$A$37,0))</f>
        <v>1</v>
      </c>
      <c r="C26" s="22" t="n">
        <f aca="false">INDEX(Inputs!$J$22:$J$37,MATCH(C$4,Inputs!$A$22:$A$37,0))</f>
        <v>1</v>
      </c>
      <c r="D26" s="22" t="n">
        <f aca="false">INDEX(Inputs!$J$22:$J$37,MATCH(D$4,Inputs!$A$22:$A$37,0))</f>
        <v>1</v>
      </c>
      <c r="E26" s="22" t="n">
        <f aca="false">INDEX(Inputs!$J$22:$J$37,MATCH(E$4,Inputs!$A$22:$A$37,0))</f>
        <v>1</v>
      </c>
      <c r="F26" s="22" t="n">
        <f aca="false">INDEX(Inputs!$J$22:$J$37,MATCH(F$4,Inputs!$A$22:$A$37,0))</f>
        <v>1</v>
      </c>
      <c r="G26" s="22" t="n">
        <f aca="false">INDEX(Inputs!$J$22:$J$37,MATCH(G$4,Inputs!$A$22:$A$37,0))</f>
        <v>1</v>
      </c>
      <c r="H26" s="22" t="n">
        <f aca="false">INDEX(Inputs!$J$22:$J$37,MATCH(H$4,Inputs!$A$22:$A$37,0))</f>
        <v>1</v>
      </c>
      <c r="I26" s="22" t="n">
        <f aca="false">INDEX(Inputs!$J$22:$J$37,MATCH(I$4,Inputs!$A$22:$A$37,0))</f>
        <v>1</v>
      </c>
      <c r="J26" s="22" t="n">
        <f aca="false">INDEX(Inputs!$J$22:$J$37,MATCH(J$4,Inputs!$A$22:$A$37,0))</f>
        <v>1</v>
      </c>
      <c r="K26" s="22" t="n">
        <f aca="false">INDEX(Inputs!$J$22:$J$37,MATCH(K$4,Inputs!$A$22:$A$37,0))</f>
        <v>1</v>
      </c>
      <c r="L26" s="22" t="n">
        <f aca="false">INDEX(Inputs!$J$22:$J$37,MATCH(L$4,Inputs!$A$22:$A$37,0))</f>
        <v>1</v>
      </c>
      <c r="M26" s="22" t="n">
        <f aca="false">INDEX(Inputs!$J$22:$J$37,MATCH(M$4,Inputs!$A$22:$A$37,0))</f>
        <v>1</v>
      </c>
    </row>
    <row r="27" customFormat="false" ht="15" hidden="false" customHeight="false" outlineLevel="0" collapsed="false">
      <c r="A27" s="10" t="s">
        <v>103</v>
      </c>
      <c r="B27" s="22" t="n">
        <f aca="false">INDEX(Inputs!$I$22:$I$37,MATCH(B$4,Inputs!$A$22:$A$37,0))</f>
        <v>20</v>
      </c>
      <c r="C27" s="22" t="n">
        <f aca="false">INDEX(Inputs!$I$22:$I$37,MATCH(C$4,Inputs!$A$22:$A$37,0))</f>
        <v>20</v>
      </c>
      <c r="D27" s="22" t="n">
        <f aca="false">INDEX(Inputs!$I$22:$I$37,MATCH(D$4,Inputs!$A$22:$A$37,0))</f>
        <v>20</v>
      </c>
      <c r="E27" s="22" t="n">
        <f aca="false">INDEX(Inputs!$I$22:$I$37,MATCH(E$4,Inputs!$A$22:$A$37,0))</f>
        <v>15</v>
      </c>
      <c r="F27" s="22" t="n">
        <f aca="false">INDEX(Inputs!$I$22:$I$37,MATCH(F$4,Inputs!$A$22:$A$37,0))</f>
        <v>15</v>
      </c>
      <c r="G27" s="22" t="n">
        <f aca="false">INDEX(Inputs!$I$22:$I$37,MATCH(G$4,Inputs!$A$22:$A$37,0))</f>
        <v>15</v>
      </c>
      <c r="H27" s="22" t="n">
        <f aca="false">INDEX(Inputs!$I$22:$I$37,MATCH(H$4,Inputs!$A$22:$A$37,0))</f>
        <v>30</v>
      </c>
      <c r="I27" s="22" t="n">
        <f aca="false">INDEX(Inputs!$I$22:$I$37,MATCH(I$4,Inputs!$A$22:$A$37,0))</f>
        <v>30</v>
      </c>
      <c r="J27" s="22" t="n">
        <f aca="false">INDEX(Inputs!$I$22:$I$37,MATCH(J$4,Inputs!$A$22:$A$37,0))</f>
        <v>30</v>
      </c>
      <c r="K27" s="22" t="n">
        <f aca="false">INDEX(Inputs!$I$22:$I$37,MATCH(K$4,Inputs!$A$22:$A$37,0))</f>
        <v>25</v>
      </c>
      <c r="L27" s="22" t="n">
        <f aca="false">INDEX(Inputs!$I$22:$I$37,MATCH(L$4,Inputs!$A$22:$A$37,0))</f>
        <v>25</v>
      </c>
      <c r="M27" s="22" t="n">
        <f aca="false">INDEX(Inputs!$I$22:$I$37,MATCH(M$4,Inputs!$A$22:$A$37,0))</f>
        <v>25</v>
      </c>
    </row>
    <row r="28" customFormat="false" ht="15" hidden="false" customHeight="false" outlineLevel="0" collapsed="false">
      <c r="A28" s="10" t="s">
        <v>104</v>
      </c>
      <c r="B28" s="22" t="n">
        <f aca="false">INDEX(Inputs!$M$22:$M$37,MATCH(B$4,Inputs!$A$22:$A$37,0))</f>
        <v>3</v>
      </c>
      <c r="C28" s="22" t="n">
        <f aca="false">INDEX(Inputs!$M$22:$M$37,MATCH(C$4,Inputs!$A$22:$A$37,0))</f>
        <v>3</v>
      </c>
      <c r="D28" s="22" t="n">
        <f aca="false">INDEX(Inputs!$M$22:$M$37,MATCH(D$4,Inputs!$A$22:$A$37,0))</f>
        <v>3</v>
      </c>
      <c r="E28" s="22" t="n">
        <f aca="false">INDEX(Inputs!$M$22:$M$37,MATCH(E$4,Inputs!$A$22:$A$37,0))</f>
        <v>0</v>
      </c>
      <c r="F28" s="22" t="n">
        <f aca="false">INDEX(Inputs!$M$22:$M$37,MATCH(F$4,Inputs!$A$22:$A$37,0))</f>
        <v>0</v>
      </c>
      <c r="G28" s="22" t="n">
        <f aca="false">INDEX(Inputs!$M$22:$M$37,MATCH(G$4,Inputs!$A$22:$A$37,0))</f>
        <v>0</v>
      </c>
      <c r="H28" s="22" t="n">
        <f aca="false">INDEX(Inputs!$M$22:$M$37,MATCH(H$4,Inputs!$A$22:$A$37,0))</f>
        <v>3</v>
      </c>
      <c r="I28" s="22" t="n">
        <f aca="false">INDEX(Inputs!$M$22:$M$37,MATCH(I$4,Inputs!$A$22:$A$37,0))</f>
        <v>3</v>
      </c>
      <c r="J28" s="22" t="n">
        <f aca="false">INDEX(Inputs!$M$22:$M$37,MATCH(J$4,Inputs!$A$22:$A$37,0))</f>
        <v>3</v>
      </c>
      <c r="K28" s="22" t="n">
        <f aca="false">INDEX(Inputs!$M$22:$M$37,MATCH(K$4,Inputs!$A$22:$A$37,0))</f>
        <v>0</v>
      </c>
      <c r="L28" s="22" t="n">
        <f aca="false">INDEX(Inputs!$M$22:$M$37,MATCH(L$4,Inputs!$A$22:$A$37,0))</f>
        <v>0</v>
      </c>
      <c r="M28" s="22" t="n">
        <f aca="false">INDEX(Inputs!$M$22:$M$37,MATCH(M$4,Inputs!$A$22:$A$37,0))</f>
        <v>0</v>
      </c>
    </row>
    <row r="29" customFormat="false" ht="15" hidden="false" customHeight="false" outlineLevel="0" collapsed="false">
      <c r="A29" s="10" t="s">
        <v>105</v>
      </c>
      <c r="B29" s="22" t="n">
        <f aca="false">INDEX(Inputs!$L$22:$L$37,MATCH(B$4,Inputs!$A$22:$A$37,0))</f>
        <v>3.5</v>
      </c>
      <c r="C29" s="22" t="n">
        <f aca="false">INDEX(Inputs!$L$22:$L$37,MATCH(C$4,Inputs!$A$22:$A$37,0))</f>
        <v>3.5</v>
      </c>
      <c r="D29" s="22" t="n">
        <f aca="false">INDEX(Inputs!$L$22:$L$37,MATCH(D$4,Inputs!$A$22:$A$37,0))</f>
        <v>3.5</v>
      </c>
      <c r="E29" s="22" t="n">
        <f aca="false">INDEX(Inputs!$L$22:$L$37,MATCH(E$4,Inputs!$A$22:$A$37,0))</f>
        <v>3.5</v>
      </c>
      <c r="F29" s="22" t="n">
        <f aca="false">INDEX(Inputs!$L$22:$L$37,MATCH(F$4,Inputs!$A$22:$A$37,0))</f>
        <v>3.5</v>
      </c>
      <c r="G29" s="22" t="n">
        <f aca="false">INDEX(Inputs!$L$22:$L$37,MATCH(G$4,Inputs!$A$22:$A$37,0))</f>
        <v>3.5</v>
      </c>
      <c r="H29" s="22" t="n">
        <f aca="false">INDEX(Inputs!$L$22:$L$37,MATCH(H$4,Inputs!$A$22:$A$37,0))</f>
        <v>3.5</v>
      </c>
      <c r="I29" s="22" t="n">
        <f aca="false">INDEX(Inputs!$L$22:$L$37,MATCH(I$4,Inputs!$A$22:$A$37,0))</f>
        <v>3.5</v>
      </c>
      <c r="J29" s="22" t="n">
        <f aca="false">INDEX(Inputs!$L$22:$L$37,MATCH(J$4,Inputs!$A$22:$A$37,0))</f>
        <v>3.5</v>
      </c>
      <c r="K29" s="22" t="n">
        <f aca="false">INDEX(Inputs!$L$22:$L$37,MATCH(K$4,Inputs!$A$22:$A$37,0))</f>
        <v>3.5</v>
      </c>
      <c r="L29" s="22" t="n">
        <f aca="false">INDEX(Inputs!$L$22:$L$37,MATCH(L$4,Inputs!$A$22:$A$37,0))</f>
        <v>3.5</v>
      </c>
      <c r="M29" s="22" t="n">
        <f aca="false">INDEX(Inputs!$L$22:$L$37,MATCH(M$4,Inputs!$A$22:$A$37,0))</f>
        <v>3.5</v>
      </c>
    </row>
    <row r="31" customFormat="false" ht="21.75" hidden="false" customHeight="true" outlineLevel="0" collapsed="false">
      <c r="A31" s="24" t="s">
        <v>106</v>
      </c>
      <c r="B31" s="25" t="n">
        <f aca="false">B10+B15+B19+B22+B24+B25+B26+B27+B28+B29</f>
        <v>76.7237</v>
      </c>
      <c r="C31" s="25" t="n">
        <f aca="false">C10+C15+C19+C22+C24+C25+C26+C27+C28+C29</f>
        <v>65.7237</v>
      </c>
      <c r="D31" s="25" t="n">
        <f aca="false">D10+D15+D19+D22+D24+D25+D26+D27+D28+D29</f>
        <v>58.4737</v>
      </c>
      <c r="E31" s="25" t="n">
        <f aca="false">E10+E15+E19+E22+E24+E25+E26+E27+E28+E29</f>
        <v>67.8667</v>
      </c>
      <c r="F31" s="25" t="n">
        <f aca="false">F10+F15+F19+F22+F24+F25+F26+F27+F28+F29</f>
        <v>56.8667</v>
      </c>
      <c r="G31" s="25" t="n">
        <f aca="false">G10+G15+G19+G22+G24+G25+G26+G27+G28+G29</f>
        <v>49.6167</v>
      </c>
      <c r="H31" s="25" t="n">
        <f aca="false">H10+H15+H19+H22+H24+H25+H26+H27+H28+H29</f>
        <v>86.7237</v>
      </c>
      <c r="I31" s="25" t="n">
        <f aca="false">I10+I15+I19+I22+I24+I25+I26+I27+I28+I29</f>
        <v>75.7237</v>
      </c>
      <c r="J31" s="25" t="n">
        <f aca="false">J10+J15+J19+J22+J24+J25+J26+J27+J28+J29</f>
        <v>68.4737</v>
      </c>
      <c r="K31" s="25" t="n">
        <f aca="false">K10+K15+K19+K22+K24+K25+K26+K27+K28+K29</f>
        <v>77.8667</v>
      </c>
      <c r="L31" s="25" t="n">
        <f aca="false">L10+L15+L19+L22+L24+L25+L26+L27+L28+L29</f>
        <v>66.8667</v>
      </c>
      <c r="M31" s="25" t="n">
        <f aca="false">M10+M15+M19+M22+M24+M25+M26+M27+M28+M29</f>
        <v>59.6167</v>
      </c>
    </row>
    <row r="32" customFormat="false" ht="30" hidden="false" customHeight="true" outlineLevel="0" collapsed="false">
      <c r="A32" s="10" t="s">
        <v>107</v>
      </c>
      <c r="B32" s="26" t="str">
        <f aca="false">IF(B7="","NO FABRIC SET — total excludes fabric",IF(B8=0,"MISSING YIELD — fabric not in total",IF(B9=0,"MISSING FABRIC PRICE — fabric not in total",IF(AND(B12&lt;&gt;"",B13=0),"MISSING RIB YIELD — rib not in total","Complete"))))</f>
        <v>Complete</v>
      </c>
      <c r="C32" s="26" t="str">
        <f aca="false">IF(C7="","NO FABRIC SET — total excludes fabric",IF(C8=0,"MISSING YIELD — fabric not in total",IF(C9=0,"MISSING FABRIC PRICE — fabric not in total",IF(AND(C12&lt;&gt;"",C13=0),"MISSING RIB YIELD — rib not in total","Complete"))))</f>
        <v>Complete</v>
      </c>
      <c r="D32" s="26" t="str">
        <f aca="false">IF(D7="","NO FABRIC SET — total excludes fabric",IF(D8=0,"MISSING YIELD — fabric not in total",IF(D9=0,"MISSING FABRIC PRICE — fabric not in total",IF(AND(D12&lt;&gt;"",D13=0),"MISSING RIB YIELD — rib not in total","Complete"))))</f>
        <v>Complete</v>
      </c>
      <c r="E32" s="26" t="str">
        <f aca="false">IF(E7="","NO FABRIC SET — total excludes fabric",IF(E8=0,"MISSING YIELD — fabric not in total",IF(E9=0,"MISSING FABRIC PRICE — fabric not in total",IF(AND(E12&lt;&gt;"",E13=0),"MISSING RIB YIELD — rib not in total","Complete"))))</f>
        <v>Complete</v>
      </c>
      <c r="F32" s="26" t="str">
        <f aca="false">IF(F7="","NO FABRIC SET — total excludes fabric",IF(F8=0,"MISSING YIELD — fabric not in total",IF(F9=0,"MISSING FABRIC PRICE — fabric not in total",IF(AND(F12&lt;&gt;"",F13=0),"MISSING RIB YIELD — rib not in total","Complete"))))</f>
        <v>Complete</v>
      </c>
      <c r="G32" s="26" t="str">
        <f aca="false">IF(G7="","NO FABRIC SET — total excludes fabric",IF(G8=0,"MISSING YIELD — fabric not in total",IF(G9=0,"MISSING FABRIC PRICE — fabric not in total",IF(AND(G12&lt;&gt;"",G13=0),"MISSING RIB YIELD — rib not in total","Complete"))))</f>
        <v>Complete</v>
      </c>
      <c r="H32" s="26" t="str">
        <f aca="false">IF(H7="","NO FABRIC SET — total excludes fabric",IF(H8=0,"MISSING YIELD — fabric not in total",IF(H9=0,"MISSING FABRIC PRICE — fabric not in total",IF(AND(H12&lt;&gt;"",H13=0),"MISSING RIB YIELD — rib not in total","Complete"))))</f>
        <v>Complete</v>
      </c>
      <c r="I32" s="26" t="str">
        <f aca="false">IF(I7="","NO FABRIC SET — total excludes fabric",IF(I8=0,"MISSING YIELD — fabric not in total",IF(I9=0,"MISSING FABRIC PRICE — fabric not in total",IF(AND(I12&lt;&gt;"",I13=0),"MISSING RIB YIELD — rib not in total","Complete"))))</f>
        <v>Complete</v>
      </c>
      <c r="J32" s="26" t="str">
        <f aca="false">IF(J7="","NO FABRIC SET — total excludes fabric",IF(J8=0,"MISSING YIELD — fabric not in total",IF(J9=0,"MISSING FABRIC PRICE — fabric not in total",IF(AND(J12&lt;&gt;"",J13=0),"MISSING RIB YIELD — rib not in total","Complete"))))</f>
        <v>Complete</v>
      </c>
      <c r="K32" s="26" t="str">
        <f aca="false">IF(K7="","NO FABRIC SET — total excludes fabric",IF(K8=0,"MISSING YIELD — fabric not in total",IF(K9=0,"MISSING FABRIC PRICE — fabric not in total",IF(AND(K12&lt;&gt;"",K13=0),"MISSING RIB YIELD — rib not in total","Complete"))))</f>
        <v>Complete</v>
      </c>
      <c r="L32" s="26" t="str">
        <f aca="false">IF(L7="","NO FABRIC SET — total excludes fabric",IF(L8=0,"MISSING YIELD — fabric not in total",IF(L9=0,"MISSING FABRIC PRICE — fabric not in total",IF(AND(L12&lt;&gt;"",L13=0),"MISSING RIB YIELD — rib not in total","Complete"))))</f>
        <v>Complete</v>
      </c>
      <c r="M32" s="26" t="str">
        <f aca="false">IF(M7="","NO FABRIC SET — total excludes fabric",IF(M8=0,"MISSING YIELD — fabric not in total",IF(M9=0,"MISSING FABRIC PRICE — fabric not in total",IF(AND(M12&lt;&gt;"",M13=0),"MISSING RIB YIELD — rib not in total","Complete"))))</f>
        <v>Complete</v>
      </c>
    </row>
    <row r="33" customFormat="false" ht="15" hidden="false" customHeight="false" outlineLevel="0" collapsed="false">
      <c r="A33" s="18" t="s">
        <v>67</v>
      </c>
      <c r="B33" s="19"/>
      <c r="C33" s="19"/>
      <c r="D33" s="19"/>
      <c r="E33" s="19"/>
      <c r="F33" s="19"/>
      <c r="G33" s="19"/>
      <c r="H33" s="19"/>
      <c r="I33" s="19"/>
      <c r="J33" s="19"/>
      <c r="K33" s="19"/>
      <c r="L33" s="19"/>
      <c r="M33" s="19"/>
    </row>
    <row r="34" customFormat="false" ht="15" hidden="false" customHeight="false" outlineLevel="0" collapsed="false">
      <c r="A34" s="10" t="s">
        <v>70</v>
      </c>
      <c r="B34" s="27" t="n">
        <f aca="false">Inputs!$B$52</f>
        <v>0.2</v>
      </c>
      <c r="C34" s="27" t="n">
        <f aca="false">Inputs!$B$52</f>
        <v>0.2</v>
      </c>
      <c r="D34" s="27" t="n">
        <f aca="false">Inputs!$B$52</f>
        <v>0.2</v>
      </c>
      <c r="E34" s="27" t="n">
        <f aca="false">Inputs!$B$52</f>
        <v>0.2</v>
      </c>
      <c r="F34" s="27" t="n">
        <f aca="false">Inputs!$B$52</f>
        <v>0.2</v>
      </c>
      <c r="G34" s="27" t="n">
        <f aca="false">Inputs!$B$52</f>
        <v>0.2</v>
      </c>
      <c r="H34" s="27" t="n">
        <f aca="false">Inputs!$B$52</f>
        <v>0.2</v>
      </c>
      <c r="I34" s="27" t="n">
        <f aca="false">Inputs!$B$52</f>
        <v>0.2</v>
      </c>
      <c r="J34" s="27" t="n">
        <f aca="false">Inputs!$B$52</f>
        <v>0.2</v>
      </c>
      <c r="K34" s="27" t="n">
        <f aca="false">Inputs!$B$52</f>
        <v>0.2</v>
      </c>
      <c r="L34" s="27" t="n">
        <f aca="false">Inputs!$B$52</f>
        <v>0.2</v>
      </c>
      <c r="M34" s="27" t="n">
        <f aca="false">Inputs!$B$52</f>
        <v>0.2</v>
      </c>
    </row>
    <row r="35" customFormat="false" ht="15" hidden="false" customHeight="false" outlineLevel="0" collapsed="false">
      <c r="A35" s="10" t="s">
        <v>108</v>
      </c>
      <c r="B35" s="28" t="n">
        <f aca="false">B31*B34</f>
        <v>15.34474</v>
      </c>
      <c r="C35" s="28" t="n">
        <f aca="false">C31*C34</f>
        <v>13.14474</v>
      </c>
      <c r="D35" s="28" t="n">
        <f aca="false">D31*D34</f>
        <v>11.69474</v>
      </c>
      <c r="E35" s="28" t="n">
        <f aca="false">E31*E34</f>
        <v>13.57334</v>
      </c>
      <c r="F35" s="28" t="n">
        <f aca="false">F31*F34</f>
        <v>11.37334</v>
      </c>
      <c r="G35" s="28" t="n">
        <f aca="false">G31*G34</f>
        <v>9.92334</v>
      </c>
      <c r="H35" s="28" t="n">
        <f aca="false">H31*H34</f>
        <v>17.34474</v>
      </c>
      <c r="I35" s="28" t="n">
        <f aca="false">I31*I34</f>
        <v>15.14474</v>
      </c>
      <c r="J35" s="28" t="n">
        <f aca="false">J31*J34</f>
        <v>13.69474</v>
      </c>
      <c r="K35" s="28" t="n">
        <f aca="false">K31*K34</f>
        <v>15.57334</v>
      </c>
      <c r="L35" s="28" t="n">
        <f aca="false">L31*L34</f>
        <v>13.37334</v>
      </c>
      <c r="M35" s="28" t="n">
        <f aca="false">M31*M34</f>
        <v>11.92334</v>
      </c>
    </row>
    <row r="36" customFormat="false" ht="21.75" hidden="false" customHeight="true" outlineLevel="0" collapsed="false">
      <c r="A36" s="24" t="s">
        <v>109</v>
      </c>
      <c r="B36" s="25" t="n">
        <f aca="false">B31+B35</f>
        <v>92.06844</v>
      </c>
      <c r="C36" s="25" t="n">
        <f aca="false">C31+C35</f>
        <v>78.86844</v>
      </c>
      <c r="D36" s="25" t="n">
        <f aca="false">D31+D35</f>
        <v>70.16844</v>
      </c>
      <c r="E36" s="25" t="n">
        <f aca="false">E31+E35</f>
        <v>81.44004</v>
      </c>
      <c r="F36" s="25" t="n">
        <f aca="false">F31+F35</f>
        <v>68.24004</v>
      </c>
      <c r="G36" s="25" t="n">
        <f aca="false">G31+G35</f>
        <v>59.54004</v>
      </c>
      <c r="H36" s="25" t="n">
        <f aca="false">H31+H35</f>
        <v>104.06844</v>
      </c>
      <c r="I36" s="25" t="n">
        <f aca="false">I31+I35</f>
        <v>90.86844</v>
      </c>
      <c r="J36" s="25" t="n">
        <f aca="false">J31+J35</f>
        <v>82.16844</v>
      </c>
      <c r="K36" s="25" t="n">
        <f aca="false">K31+K35</f>
        <v>93.44004</v>
      </c>
      <c r="L36" s="25" t="n">
        <f aca="false">L31+L35</f>
        <v>80.24004</v>
      </c>
      <c r="M36" s="25" t="n">
        <f aca="false">M31+M35</f>
        <v>71.54004</v>
      </c>
    </row>
    <row r="37" customFormat="false" ht="15" hidden="false" customHeight="false" outlineLevel="0" collapsed="false">
      <c r="A37" s="10" t="s">
        <v>72</v>
      </c>
      <c r="B37" s="29" t="n">
        <f aca="false">Inputs!$B$53</f>
        <v>2.5</v>
      </c>
      <c r="C37" s="29" t="n">
        <f aca="false">Inputs!$B$53</f>
        <v>2.5</v>
      </c>
      <c r="D37" s="29" t="n">
        <f aca="false">Inputs!$B$53</f>
        <v>2.5</v>
      </c>
      <c r="E37" s="29" t="n">
        <f aca="false">Inputs!$B$53</f>
        <v>2.5</v>
      </c>
      <c r="F37" s="29" t="n">
        <f aca="false">Inputs!$B$53</f>
        <v>2.5</v>
      </c>
      <c r="G37" s="29" t="n">
        <f aca="false">Inputs!$B$53</f>
        <v>2.5</v>
      </c>
      <c r="H37" s="29" t="n">
        <f aca="false">Inputs!$B$53</f>
        <v>2.5</v>
      </c>
      <c r="I37" s="29" t="n">
        <f aca="false">Inputs!$B$53</f>
        <v>2.5</v>
      </c>
      <c r="J37" s="29" t="n">
        <f aca="false">Inputs!$B$53</f>
        <v>2.5</v>
      </c>
      <c r="K37" s="29" t="n">
        <f aca="false">Inputs!$B$53</f>
        <v>2.5</v>
      </c>
      <c r="L37" s="29" t="n">
        <f aca="false">Inputs!$B$53</f>
        <v>2.5</v>
      </c>
      <c r="M37" s="29" t="n">
        <f aca="false">Inputs!$B$53</f>
        <v>2.5</v>
      </c>
    </row>
    <row r="38" customFormat="false" ht="21.75" hidden="false" customHeight="true" outlineLevel="0" collapsed="false">
      <c r="A38" s="24" t="s">
        <v>110</v>
      </c>
      <c r="B38" s="25" t="n">
        <f aca="false">B36*B37</f>
        <v>230.1711</v>
      </c>
      <c r="C38" s="25" t="n">
        <f aca="false">C36*C37</f>
        <v>197.1711</v>
      </c>
      <c r="D38" s="25" t="n">
        <f aca="false">D36*D37</f>
        <v>175.4211</v>
      </c>
      <c r="E38" s="25" t="n">
        <f aca="false">E36*E37</f>
        <v>203.6001</v>
      </c>
      <c r="F38" s="25" t="n">
        <f aca="false">F36*F37</f>
        <v>170.6001</v>
      </c>
      <c r="G38" s="25" t="n">
        <f aca="false">G36*G37</f>
        <v>148.8501</v>
      </c>
      <c r="H38" s="25" t="n">
        <f aca="false">H36*H37</f>
        <v>260.1711</v>
      </c>
      <c r="I38" s="25" t="n">
        <f aca="false">I36*I37</f>
        <v>227.1711</v>
      </c>
      <c r="J38" s="25" t="n">
        <f aca="false">J36*J37</f>
        <v>205.4211</v>
      </c>
      <c r="K38" s="25" t="n">
        <f aca="false">K36*K37</f>
        <v>233.6001</v>
      </c>
      <c r="L38" s="25" t="n">
        <f aca="false">L36*L37</f>
        <v>200.6001</v>
      </c>
      <c r="M38" s="25" t="n">
        <f aca="false">M36*M37</f>
        <v>178.8501</v>
      </c>
    </row>
    <row r="40" customFormat="false" ht="15" hidden="false" customHeight="false" outlineLevel="0" collapsed="false">
      <c r="A40" s="18" t="s">
        <v>111</v>
      </c>
      <c r="B40" s="19"/>
      <c r="C40" s="19"/>
      <c r="D40" s="19"/>
      <c r="E40" s="19"/>
      <c r="F40" s="19"/>
      <c r="G40" s="19"/>
      <c r="H40" s="19"/>
      <c r="I40" s="19"/>
      <c r="J40" s="19"/>
      <c r="K40" s="19"/>
      <c r="L40" s="19"/>
      <c r="M40" s="19"/>
    </row>
    <row r="41" customFormat="false" ht="15" hidden="false" customHeight="false" outlineLevel="0" collapsed="false">
      <c r="A41" s="10" t="s">
        <v>112</v>
      </c>
      <c r="B41" s="22" t="n">
        <f aca="false">Inputs!$B$57</f>
        <v>200</v>
      </c>
      <c r="C41" s="22" t="n">
        <f aca="false">Inputs!$B$57</f>
        <v>200</v>
      </c>
      <c r="D41" s="22" t="n">
        <f aca="false">Inputs!$B$57</f>
        <v>200</v>
      </c>
      <c r="E41" s="22" t="n">
        <f aca="false">Inputs!$B$57</f>
        <v>200</v>
      </c>
      <c r="F41" s="22" t="n">
        <f aca="false">Inputs!$B$57</f>
        <v>200</v>
      </c>
      <c r="G41" s="22" t="n">
        <f aca="false">Inputs!$B$57</f>
        <v>200</v>
      </c>
      <c r="H41" s="22" t="n">
        <f aca="false">Inputs!$B$57</f>
        <v>200</v>
      </c>
      <c r="I41" s="22" t="n">
        <f aca="false">Inputs!$B$57</f>
        <v>200</v>
      </c>
      <c r="J41" s="22" t="n">
        <f aca="false">Inputs!$B$57</f>
        <v>200</v>
      </c>
      <c r="K41" s="22" t="n">
        <f aca="false">Inputs!$B$57</f>
        <v>200</v>
      </c>
      <c r="L41" s="22" t="n">
        <f aca="false">Inputs!$B$57</f>
        <v>200</v>
      </c>
      <c r="M41" s="22" t="n">
        <f aca="false">Inputs!$B$57</f>
        <v>200</v>
      </c>
    </row>
    <row r="42" customFormat="false" ht="15" hidden="false" customHeight="false" outlineLevel="0" collapsed="false">
      <c r="A42" s="10" t="s">
        <v>113</v>
      </c>
      <c r="B42" s="22" t="n">
        <f aca="false">Inputs!$B$58</f>
        <v>250</v>
      </c>
      <c r="C42" s="22" t="n">
        <f aca="false">Inputs!$B$58</f>
        <v>250</v>
      </c>
      <c r="D42" s="22" t="n">
        <f aca="false">Inputs!$B$58</f>
        <v>250</v>
      </c>
      <c r="E42" s="22" t="n">
        <f aca="false">Inputs!$B$58</f>
        <v>250</v>
      </c>
      <c r="F42" s="22" t="n">
        <f aca="false">Inputs!$B$58</f>
        <v>250</v>
      </c>
      <c r="G42" s="22" t="n">
        <f aca="false">Inputs!$B$58</f>
        <v>250</v>
      </c>
      <c r="H42" s="22" t="n">
        <f aca="false">Inputs!$B$58</f>
        <v>250</v>
      </c>
      <c r="I42" s="22" t="n">
        <f aca="false">Inputs!$B$58</f>
        <v>250</v>
      </c>
      <c r="J42" s="22" t="n">
        <f aca="false">Inputs!$B$58</f>
        <v>250</v>
      </c>
      <c r="K42" s="22" t="n">
        <f aca="false">Inputs!$B$58</f>
        <v>250</v>
      </c>
      <c r="L42" s="22" t="n">
        <f aca="false">Inputs!$B$58</f>
        <v>250</v>
      </c>
      <c r="M42" s="22" t="n">
        <f aca="false">Inputs!$B$58</f>
        <v>250</v>
      </c>
    </row>
    <row r="43" customFormat="false" ht="15" hidden="false" customHeight="false" outlineLevel="0" collapsed="false">
      <c r="A43" s="15" t="s">
        <v>114</v>
      </c>
      <c r="B43" s="23" t="n">
        <f aca="false">B41+B42</f>
        <v>450</v>
      </c>
      <c r="C43" s="23" t="n">
        <f aca="false">C41+C42</f>
        <v>450</v>
      </c>
      <c r="D43" s="23" t="n">
        <f aca="false">D41+D42</f>
        <v>450</v>
      </c>
      <c r="E43" s="23" t="n">
        <f aca="false">E41+E42</f>
        <v>450</v>
      </c>
      <c r="F43" s="23" t="n">
        <f aca="false">F41+F42</f>
        <v>450</v>
      </c>
      <c r="G43" s="23" t="n">
        <f aca="false">G41+G42</f>
        <v>450</v>
      </c>
      <c r="H43" s="23" t="n">
        <f aca="false">H41+H42</f>
        <v>450</v>
      </c>
      <c r="I43" s="23" t="n">
        <f aca="false">I41+I42</f>
        <v>450</v>
      </c>
      <c r="J43" s="23" t="n">
        <f aca="false">J41+J42</f>
        <v>450</v>
      </c>
      <c r="K43" s="23" t="n">
        <f aca="false">K41+K42</f>
        <v>450</v>
      </c>
      <c r="L43" s="23" t="n">
        <f aca="false">L41+L42</f>
        <v>450</v>
      </c>
      <c r="M43" s="23" t="n">
        <f aca="false">M41+M42</f>
        <v>450</v>
      </c>
    </row>
  </sheetData>
  <mergeCells count="1">
    <mergeCell ref="A2:M2"/>
  </mergeCells>
  <conditionalFormatting sqref="B32:M32">
    <cfRule type="expression" priority="2" aboveAverage="0" equalAverage="0" bottom="0" percent="0" rank="0" text="" dxfId="0">
      <formula>OR(LEFT(B32,7)="MISSING",LEFT(B32,9)="NO FABRIC")</formula>
    </cfRule>
  </conditionalFormatting>
  <dataValidations count="2">
    <dataValidation allowBlank="false" errorStyle="stop" operator="between" showDropDown="false" showErrorMessage="false" showInputMessage="false" sqref="B4:M4" type="list">
      <formula1>Inputs!$A$22:$A$37</formula1>
      <formula2>0</formula2>
    </dataValidation>
    <dataValidation allowBlank="true" errorStyle="stop" operator="between" showDropDown="false" showErrorMessage="false" showInputMessage="false" sqref="B5:M5" type="list">
      <formula1>Inputs!$A$43:$A$48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9"/>
  </cols>
  <sheetData>
    <row r="1" customFormat="false" ht="17.35" hidden="false" customHeight="false" outlineLevel="0" collapsed="false">
      <c r="A1" s="1" t="s">
        <v>115</v>
      </c>
    </row>
    <row r="2" customFormat="false" ht="27.75" hidden="false" customHeight="true" outlineLevel="0" collapsed="false">
      <c r="A2" s="2" t="s">
        <v>83</v>
      </c>
      <c r="B2" s="2"/>
      <c r="C2" s="2"/>
      <c r="D2" s="2"/>
      <c r="E2" s="2"/>
      <c r="F2" s="2"/>
      <c r="G2" s="2"/>
    </row>
    <row r="4" customFormat="false" ht="30" hidden="false" customHeight="true" outlineLevel="0" collapsed="false">
      <c r="A4" s="15" t="s">
        <v>20</v>
      </c>
      <c r="B4" s="17" t="s">
        <v>42</v>
      </c>
      <c r="C4" s="17" t="s">
        <v>42</v>
      </c>
      <c r="D4" s="17" t="s">
        <v>42</v>
      </c>
      <c r="E4" s="17" t="s">
        <v>45</v>
      </c>
      <c r="F4" s="17" t="s">
        <v>45</v>
      </c>
      <c r="G4" s="17" t="s">
        <v>45</v>
      </c>
    </row>
    <row r="5" customFormat="false" ht="30" hidden="false" customHeight="true" outlineLevel="0" collapsed="false">
      <c r="A5" s="15" t="s">
        <v>61</v>
      </c>
      <c r="B5" s="17" t="s">
        <v>62</v>
      </c>
      <c r="C5" s="17" t="s">
        <v>63</v>
      </c>
      <c r="D5" s="17" t="s">
        <v>65</v>
      </c>
      <c r="E5" s="17" t="s">
        <v>62</v>
      </c>
      <c r="F5" s="17" t="s">
        <v>63</v>
      </c>
      <c r="G5" s="17" t="s">
        <v>65</v>
      </c>
    </row>
    <row r="6" customFormat="false" ht="15" hidden="false" customHeight="false" outlineLevel="0" collapsed="false">
      <c r="A6" s="18" t="s">
        <v>84</v>
      </c>
      <c r="B6" s="19"/>
      <c r="C6" s="19"/>
      <c r="D6" s="19"/>
      <c r="E6" s="19"/>
      <c r="F6" s="19"/>
      <c r="G6" s="19"/>
    </row>
    <row r="7" customFormat="false" ht="30" hidden="false" customHeight="true" outlineLevel="0" collapsed="false">
      <c r="A7" s="10" t="s">
        <v>22</v>
      </c>
      <c r="B7" s="20" t="str">
        <f aca="false">IF(INDEX(Inputs!$C$22:$C$37,MATCH(B$4,Inputs!$A$22:$A$37,0))="","",INDEX(Inputs!$C$22:$C$37,MATCH(B$4,Inputs!$A$22:$A$37,0)))</f>
        <v>20oz Gabardine French Terry</v>
      </c>
      <c r="C7" s="20" t="str">
        <f aca="false">IF(INDEX(Inputs!$C$22:$C$37,MATCH(C$4,Inputs!$A$22:$A$37,0))="","",INDEX(Inputs!$C$22:$C$37,MATCH(C$4,Inputs!$A$22:$A$37,0)))</f>
        <v>20oz Gabardine French Terry</v>
      </c>
      <c r="D7" s="20" t="str">
        <f aca="false">IF(INDEX(Inputs!$C$22:$C$37,MATCH(D$4,Inputs!$A$22:$A$37,0))="","",INDEX(Inputs!$C$22:$C$37,MATCH(D$4,Inputs!$A$22:$A$37,0)))</f>
        <v>20oz Gabardine French Terry</v>
      </c>
      <c r="E7" s="20" t="str">
        <f aca="false">IF(INDEX(Inputs!$C$22:$C$37,MATCH(E$4,Inputs!$A$22:$A$37,0))="","",INDEX(Inputs!$C$22:$C$37,MATCH(E$4,Inputs!$A$22:$A$37,0)))</f>
        <v>20oz Gabardine French Terry</v>
      </c>
      <c r="F7" s="20" t="str">
        <f aca="false">IF(INDEX(Inputs!$C$22:$C$37,MATCH(F$4,Inputs!$A$22:$A$37,0))="","",INDEX(Inputs!$C$22:$C$37,MATCH(F$4,Inputs!$A$22:$A$37,0)))</f>
        <v>20oz Gabardine French Terry</v>
      </c>
      <c r="G7" s="20" t="str">
        <f aca="false">IF(INDEX(Inputs!$C$22:$C$37,MATCH(G$4,Inputs!$A$22:$A$37,0))="","",INDEX(Inputs!$C$22:$C$37,MATCH(G$4,Inputs!$A$22:$A$37,0)))</f>
        <v>20oz Gabardine French Terry</v>
      </c>
    </row>
    <row r="8" customFormat="false" ht="15" hidden="false" customHeight="false" outlineLevel="0" collapsed="false">
      <c r="A8" s="10" t="s">
        <v>85</v>
      </c>
      <c r="B8" s="21" t="n">
        <f aca="false">INDEX(Inputs!$D$22:$D$37,MATCH(B$4,Inputs!$A$22:$A$37,0))</f>
        <v>2.08</v>
      </c>
      <c r="C8" s="21" t="n">
        <f aca="false">INDEX(Inputs!$D$22:$D$37,MATCH(C$4,Inputs!$A$22:$A$37,0))</f>
        <v>2.08</v>
      </c>
      <c r="D8" s="21" t="n">
        <f aca="false">INDEX(Inputs!$D$22:$D$37,MATCH(D$4,Inputs!$A$22:$A$37,0))</f>
        <v>2.08</v>
      </c>
      <c r="E8" s="21" t="n">
        <f aca="false">INDEX(Inputs!$D$22:$D$37,MATCH(E$4,Inputs!$A$22:$A$37,0))</f>
        <v>1.45</v>
      </c>
      <c r="F8" s="21" t="n">
        <f aca="false">INDEX(Inputs!$D$22:$D$37,MATCH(F$4,Inputs!$A$22:$A$37,0))</f>
        <v>1.45</v>
      </c>
      <c r="G8" s="21" t="n">
        <f aca="false">INDEX(Inputs!$D$22:$D$37,MATCH(G$4,Inputs!$A$22:$A$37,0))</f>
        <v>1.45</v>
      </c>
    </row>
    <row r="9" customFormat="false" ht="15" hidden="false" customHeight="false" outlineLevel="0" collapsed="false">
      <c r="A9" s="10" t="s">
        <v>86</v>
      </c>
      <c r="B9" s="22" t="n">
        <f aca="false">IF(B7="",0,INDEX(Inputs!$B$6:$B$13,MATCH(B7,Inputs!$A$6:$A$13,0)))</f>
        <v>8.57</v>
      </c>
      <c r="C9" s="22" t="n">
        <f aca="false">IF(C7="",0,INDEX(Inputs!$B$6:$B$13,MATCH(C7,Inputs!$A$6:$A$13,0)))</f>
        <v>8.57</v>
      </c>
      <c r="D9" s="22" t="n">
        <f aca="false">IF(D7="",0,INDEX(Inputs!$B$6:$B$13,MATCH(D7,Inputs!$A$6:$A$13,0)))</f>
        <v>8.57</v>
      </c>
      <c r="E9" s="22" t="n">
        <f aca="false">IF(E7="",0,INDEX(Inputs!$B$6:$B$13,MATCH(E7,Inputs!$A$6:$A$13,0)))</f>
        <v>8.57</v>
      </c>
      <c r="F9" s="22" t="n">
        <f aca="false">IF(F7="",0,INDEX(Inputs!$B$6:$B$13,MATCH(F7,Inputs!$A$6:$A$13,0)))</f>
        <v>8.57</v>
      </c>
      <c r="G9" s="22" t="n">
        <f aca="false">IF(G7="",0,INDEX(Inputs!$B$6:$B$13,MATCH(G7,Inputs!$A$6:$A$13,0)))</f>
        <v>8.57</v>
      </c>
    </row>
    <row r="10" customFormat="false" ht="15" hidden="false" customHeight="false" outlineLevel="0" collapsed="false">
      <c r="A10" s="15" t="s">
        <v>87</v>
      </c>
      <c r="B10" s="23" t="n">
        <f aca="false">B8*B9</f>
        <v>17.8256</v>
      </c>
      <c r="C10" s="23" t="n">
        <f aca="false">C8*C9</f>
        <v>17.8256</v>
      </c>
      <c r="D10" s="23" t="n">
        <f aca="false">D8*D9</f>
        <v>17.8256</v>
      </c>
      <c r="E10" s="23" t="n">
        <f aca="false">E8*E9</f>
        <v>12.4265</v>
      </c>
      <c r="F10" s="23" t="n">
        <f aca="false">F8*F9</f>
        <v>12.4265</v>
      </c>
      <c r="G10" s="23" t="n">
        <f aca="false">G8*G9</f>
        <v>12.4265</v>
      </c>
    </row>
    <row r="11" customFormat="false" ht="15" hidden="false" customHeight="false" outlineLevel="0" collapsed="false">
      <c r="A11" s="18" t="s">
        <v>88</v>
      </c>
      <c r="B11" s="19"/>
      <c r="C11" s="19"/>
      <c r="D11" s="19"/>
      <c r="E11" s="19"/>
      <c r="F11" s="19"/>
      <c r="G11" s="19"/>
    </row>
    <row r="12" customFormat="false" ht="15" hidden="false" customHeight="false" outlineLevel="0" collapsed="false">
      <c r="A12" s="10" t="s">
        <v>24</v>
      </c>
      <c r="B12" s="20" t="str">
        <f aca="false">IF(INDEX(Inputs!$E$22:$E$37,MATCH(B$4,Inputs!$A$22:$A$37,0))="","",INDEX(Inputs!$E$22:$E$37,MATCH(B$4,Inputs!$A$22:$A$37,0)))</f>
        <v/>
      </c>
      <c r="C12" s="20" t="str">
        <f aca="false">IF(INDEX(Inputs!$E$22:$E$37,MATCH(C$4,Inputs!$A$22:$A$37,0))="","",INDEX(Inputs!$E$22:$E$37,MATCH(C$4,Inputs!$A$22:$A$37,0)))</f>
        <v/>
      </c>
      <c r="D12" s="20" t="str">
        <f aca="false">IF(INDEX(Inputs!$E$22:$E$37,MATCH(D$4,Inputs!$A$22:$A$37,0))="","",INDEX(Inputs!$E$22:$E$37,MATCH(D$4,Inputs!$A$22:$A$37,0)))</f>
        <v/>
      </c>
      <c r="E12" s="20" t="str">
        <f aca="false">IF(INDEX(Inputs!$E$22:$E$37,MATCH(E$4,Inputs!$A$22:$A$37,0))="","",INDEX(Inputs!$E$22:$E$37,MATCH(E$4,Inputs!$A$22:$A$37,0)))</f>
        <v/>
      </c>
      <c r="F12" s="20" t="str">
        <f aca="false">IF(INDEX(Inputs!$E$22:$E$37,MATCH(F$4,Inputs!$A$22:$A$37,0))="","",INDEX(Inputs!$E$22:$E$37,MATCH(F$4,Inputs!$A$22:$A$37,0)))</f>
        <v/>
      </c>
      <c r="G12" s="20" t="str">
        <f aca="false">IF(INDEX(Inputs!$E$22:$E$37,MATCH(G$4,Inputs!$A$22:$A$37,0))="","",INDEX(Inputs!$E$22:$E$37,MATCH(G$4,Inputs!$A$22:$A$37,0)))</f>
        <v/>
      </c>
    </row>
    <row r="13" customFormat="false" ht="15" hidden="false" customHeight="false" outlineLevel="0" collapsed="false">
      <c r="A13" s="10" t="s">
        <v>89</v>
      </c>
      <c r="B13" s="21" t="n">
        <f aca="false">INDEX(Inputs!$F$22:$F$37,MATCH(B$4,Inputs!$A$22:$A$37,0))</f>
        <v>0</v>
      </c>
      <c r="C13" s="21" t="n">
        <f aca="false">INDEX(Inputs!$F$22:$F$37,MATCH(C$4,Inputs!$A$22:$A$37,0))</f>
        <v>0</v>
      </c>
      <c r="D13" s="21" t="n">
        <f aca="false">INDEX(Inputs!$F$22:$F$37,MATCH(D$4,Inputs!$A$22:$A$37,0))</f>
        <v>0</v>
      </c>
      <c r="E13" s="21" t="n">
        <f aca="false">INDEX(Inputs!$F$22:$F$37,MATCH(E$4,Inputs!$A$22:$A$37,0))</f>
        <v>0</v>
      </c>
      <c r="F13" s="21" t="n">
        <f aca="false">INDEX(Inputs!$F$22:$F$37,MATCH(F$4,Inputs!$A$22:$A$37,0))</f>
        <v>0</v>
      </c>
      <c r="G13" s="21" t="n">
        <f aca="false">INDEX(Inputs!$F$22:$F$37,MATCH(G$4,Inputs!$A$22:$A$37,0))</f>
        <v>0</v>
      </c>
    </row>
    <row r="14" customFormat="false" ht="15" hidden="false" customHeight="false" outlineLevel="0" collapsed="false">
      <c r="A14" s="10" t="s">
        <v>90</v>
      </c>
      <c r="B14" s="22" t="n">
        <f aca="false">IF(B12="",0,INDEX(Inputs!$B$6:$B$13,MATCH(B12,Inputs!$A$6:$A$13,0)))</f>
        <v>0</v>
      </c>
      <c r="C14" s="22" t="n">
        <f aca="false">IF(C12="",0,INDEX(Inputs!$B$6:$B$13,MATCH(C12,Inputs!$A$6:$A$13,0)))</f>
        <v>0</v>
      </c>
      <c r="D14" s="22" t="n">
        <f aca="false">IF(D12="",0,INDEX(Inputs!$B$6:$B$13,MATCH(D12,Inputs!$A$6:$A$13,0)))</f>
        <v>0</v>
      </c>
      <c r="E14" s="22" t="n">
        <f aca="false">IF(E12="",0,INDEX(Inputs!$B$6:$B$13,MATCH(E12,Inputs!$A$6:$A$13,0)))</f>
        <v>0</v>
      </c>
      <c r="F14" s="22" t="n">
        <f aca="false">IF(F12="",0,INDEX(Inputs!$B$6:$B$13,MATCH(F12,Inputs!$A$6:$A$13,0)))</f>
        <v>0</v>
      </c>
      <c r="G14" s="22" t="n">
        <f aca="false">IF(G12="",0,INDEX(Inputs!$B$6:$B$13,MATCH(G12,Inputs!$A$6:$A$13,0)))</f>
        <v>0</v>
      </c>
    </row>
    <row r="15" customFormat="false" ht="15" hidden="false" customHeight="false" outlineLevel="0" collapsed="false">
      <c r="A15" s="15" t="s">
        <v>91</v>
      </c>
      <c r="B15" s="23" t="n">
        <f aca="false">B13*B14</f>
        <v>0</v>
      </c>
      <c r="C15" s="23" t="n">
        <f aca="false">C13*C14</f>
        <v>0</v>
      </c>
      <c r="D15" s="23" t="n">
        <f aca="false">D13*D14</f>
        <v>0</v>
      </c>
      <c r="E15" s="23" t="n">
        <f aca="false">E13*E14</f>
        <v>0</v>
      </c>
      <c r="F15" s="23" t="n">
        <f aca="false">F13*F14</f>
        <v>0</v>
      </c>
      <c r="G15" s="23" t="n">
        <f aca="false">G13*G14</f>
        <v>0</v>
      </c>
    </row>
    <row r="16" customFormat="false" ht="15" hidden="false" customHeight="false" outlineLevel="0" collapsed="false">
      <c r="A16" s="18" t="s">
        <v>92</v>
      </c>
      <c r="B16" s="19"/>
      <c r="C16" s="19"/>
      <c r="D16" s="19"/>
      <c r="E16" s="19"/>
      <c r="F16" s="19"/>
      <c r="G16" s="19"/>
    </row>
    <row r="17" customFormat="false" ht="15" hidden="false" customHeight="false" outlineLevel="0" collapsed="false">
      <c r="A17" s="10" t="s">
        <v>93</v>
      </c>
      <c r="B17" s="21" t="n">
        <f aca="false">INDEX(Inputs!$G$22:$G$37,MATCH(B$4,Inputs!$A$22:$A$37,0))</f>
        <v>2.25</v>
      </c>
      <c r="C17" s="21" t="n">
        <f aca="false">INDEX(Inputs!$G$22:$G$37,MATCH(C$4,Inputs!$A$22:$A$37,0))</f>
        <v>2.25</v>
      </c>
      <c r="D17" s="21" t="n">
        <f aca="false">INDEX(Inputs!$G$22:$G$37,MATCH(D$4,Inputs!$A$22:$A$37,0))</f>
        <v>2.25</v>
      </c>
      <c r="E17" s="21" t="n">
        <f aca="false">INDEX(Inputs!$G$22:$G$37,MATCH(E$4,Inputs!$A$22:$A$37,0))</f>
        <v>2.25</v>
      </c>
      <c r="F17" s="21" t="n">
        <f aca="false">INDEX(Inputs!$G$22:$G$37,MATCH(F$4,Inputs!$A$22:$A$37,0))</f>
        <v>2.25</v>
      </c>
      <c r="G17" s="21" t="n">
        <f aca="false">INDEX(Inputs!$G$22:$G$37,MATCH(G$4,Inputs!$A$22:$A$37,0))</f>
        <v>2.25</v>
      </c>
    </row>
    <row r="18" customFormat="false" ht="15" hidden="false" customHeight="false" outlineLevel="0" collapsed="false">
      <c r="A18" s="10" t="s">
        <v>94</v>
      </c>
      <c r="B18" s="22" t="n">
        <f aca="false">Inputs!$B$17</f>
        <v>0.55</v>
      </c>
      <c r="C18" s="22" t="n">
        <f aca="false">Inputs!$B$17</f>
        <v>0.55</v>
      </c>
      <c r="D18" s="22" t="n">
        <f aca="false">Inputs!$B$17</f>
        <v>0.55</v>
      </c>
      <c r="E18" s="22" t="n">
        <f aca="false">Inputs!$B$17</f>
        <v>0.55</v>
      </c>
      <c r="F18" s="22" t="n">
        <f aca="false">Inputs!$B$17</f>
        <v>0.55</v>
      </c>
      <c r="G18" s="22" t="n">
        <f aca="false">Inputs!$B$17</f>
        <v>0.55</v>
      </c>
    </row>
    <row r="19" customFormat="false" ht="15" hidden="false" customHeight="false" outlineLevel="0" collapsed="false">
      <c r="A19" s="15" t="s">
        <v>95</v>
      </c>
      <c r="B19" s="23" t="n">
        <f aca="false">B17*B18</f>
        <v>1.2375</v>
      </c>
      <c r="C19" s="23" t="n">
        <f aca="false">C17*C18</f>
        <v>1.2375</v>
      </c>
      <c r="D19" s="23" t="n">
        <f aca="false">D17*D18</f>
        <v>1.2375</v>
      </c>
      <c r="E19" s="23" t="n">
        <f aca="false">E17*E18</f>
        <v>1.2375</v>
      </c>
      <c r="F19" s="23" t="n">
        <f aca="false">F17*F18</f>
        <v>1.2375</v>
      </c>
      <c r="G19" s="23" t="n">
        <f aca="false">G17*G18</f>
        <v>1.2375</v>
      </c>
    </row>
    <row r="20" customFormat="false" ht="15" hidden="false" customHeight="false" outlineLevel="0" collapsed="false">
      <c r="A20" s="10" t="s">
        <v>96</v>
      </c>
      <c r="B20" s="21" t="n">
        <f aca="false">INDEX(Inputs!$H$22:$H$37,MATCH(B$4,Inputs!$A$22:$A$37,0))</f>
        <v>1.5</v>
      </c>
      <c r="C20" s="21" t="n">
        <f aca="false">INDEX(Inputs!$H$22:$H$37,MATCH(C$4,Inputs!$A$22:$A$37,0))</f>
        <v>1.5</v>
      </c>
      <c r="D20" s="21" t="n">
        <f aca="false">INDEX(Inputs!$H$22:$H$37,MATCH(D$4,Inputs!$A$22:$A$37,0))</f>
        <v>1.5</v>
      </c>
      <c r="E20" s="21" t="n">
        <f aca="false">INDEX(Inputs!$H$22:$H$37,MATCH(E$4,Inputs!$A$22:$A$37,0))</f>
        <v>1.5</v>
      </c>
      <c r="F20" s="21" t="n">
        <f aca="false">INDEX(Inputs!$H$22:$H$37,MATCH(F$4,Inputs!$A$22:$A$37,0))</f>
        <v>1.5</v>
      </c>
      <c r="G20" s="21" t="n">
        <f aca="false">INDEX(Inputs!$H$22:$H$37,MATCH(G$4,Inputs!$A$22:$A$37,0))</f>
        <v>1.5</v>
      </c>
    </row>
    <row r="21" customFormat="false" ht="15" hidden="false" customHeight="false" outlineLevel="0" collapsed="false">
      <c r="A21" s="10" t="s">
        <v>97</v>
      </c>
      <c r="B21" s="22" t="n">
        <f aca="false">Inputs!$B$18</f>
        <v>1</v>
      </c>
      <c r="C21" s="22" t="n">
        <f aca="false">Inputs!$B$18</f>
        <v>1</v>
      </c>
      <c r="D21" s="22" t="n">
        <f aca="false">Inputs!$B$18</f>
        <v>1</v>
      </c>
      <c r="E21" s="22" t="n">
        <f aca="false">Inputs!$B$18</f>
        <v>1</v>
      </c>
      <c r="F21" s="22" t="n">
        <f aca="false">Inputs!$B$18</f>
        <v>1</v>
      </c>
      <c r="G21" s="22" t="n">
        <f aca="false">Inputs!$B$18</f>
        <v>1</v>
      </c>
    </row>
    <row r="22" customFormat="false" ht="15" hidden="false" customHeight="false" outlineLevel="0" collapsed="false">
      <c r="A22" s="15" t="s">
        <v>98</v>
      </c>
      <c r="B22" s="23" t="n">
        <f aca="false">B20*B21</f>
        <v>1.5</v>
      </c>
      <c r="C22" s="23" t="n">
        <f aca="false">C20*C21</f>
        <v>1.5</v>
      </c>
      <c r="D22" s="23" t="n">
        <f aca="false">D20*D21</f>
        <v>1.5</v>
      </c>
      <c r="E22" s="23" t="n">
        <f aca="false">E20*E21</f>
        <v>1.5</v>
      </c>
      <c r="F22" s="23" t="n">
        <f aca="false">F20*F21</f>
        <v>1.5</v>
      </c>
      <c r="G22" s="23" t="n">
        <f aca="false">G20*G21</f>
        <v>1.5</v>
      </c>
    </row>
    <row r="23" customFormat="false" ht="15" hidden="false" customHeight="false" outlineLevel="0" collapsed="false">
      <c r="A23" s="18" t="s">
        <v>99</v>
      </c>
      <c r="B23" s="19"/>
      <c r="C23" s="19"/>
      <c r="D23" s="19"/>
      <c r="E23" s="19"/>
      <c r="F23" s="19"/>
      <c r="G23" s="19"/>
    </row>
    <row r="24" customFormat="false" ht="15" hidden="false" customHeight="false" outlineLevel="0" collapsed="false">
      <c r="A24" s="10" t="s">
        <v>100</v>
      </c>
      <c r="B24" s="22" t="n">
        <f aca="false">IF(B5="",0,INDEX(Inputs!$B$43:$E$48,MATCH(B5,Inputs!$A$43:$A$48,0),MATCH(INDEX(Inputs!$B$22:$B$37,MATCH(B$4,Inputs!$A$22:$A$37,0)),Inputs!$B$42:$E$42,0)))</f>
        <v>18</v>
      </c>
      <c r="C24" s="22" t="n">
        <f aca="false">IF(C5="",0,INDEX(Inputs!$B$43:$E$48,MATCH(C5,Inputs!$A$43:$A$48,0),MATCH(INDEX(Inputs!$B$22:$B$37,MATCH(C$4,Inputs!$A$22:$A$37,0)),Inputs!$B$42:$E$42,0)))</f>
        <v>11</v>
      </c>
      <c r="D24" s="22" t="n">
        <f aca="false">IF(D5="",0,INDEX(Inputs!$B$43:$E$48,MATCH(D5,Inputs!$A$43:$A$48,0),MATCH(INDEX(Inputs!$B$22:$B$37,MATCH(D$4,Inputs!$A$22:$A$37,0)),Inputs!$B$42:$E$42,0)))</f>
        <v>3.75</v>
      </c>
      <c r="E24" s="22" t="n">
        <f aca="false">IF(E5="",0,INDEX(Inputs!$B$43:$E$48,MATCH(E5,Inputs!$A$43:$A$48,0),MATCH(INDEX(Inputs!$B$22:$B$37,MATCH(E$4,Inputs!$A$22:$A$37,0)),Inputs!$B$42:$E$42,0)))</f>
        <v>18</v>
      </c>
      <c r="F24" s="22" t="n">
        <f aca="false">IF(F5="",0,INDEX(Inputs!$B$43:$E$48,MATCH(F5,Inputs!$A$43:$A$48,0),MATCH(INDEX(Inputs!$B$22:$B$37,MATCH(F$4,Inputs!$A$22:$A$37,0)),Inputs!$B$42:$E$42,0)))</f>
        <v>11</v>
      </c>
      <c r="G24" s="22" t="n">
        <f aca="false">IF(G5="",0,INDEX(Inputs!$B$43:$E$48,MATCH(G5,Inputs!$A$43:$A$48,0),MATCH(INDEX(Inputs!$B$22:$B$37,MATCH(G$4,Inputs!$A$22:$A$37,0)),Inputs!$B$42:$E$42,0)))</f>
        <v>3.75</v>
      </c>
    </row>
    <row r="25" customFormat="false" ht="15" hidden="false" customHeight="false" outlineLevel="0" collapsed="false">
      <c r="A25" s="10" t="s">
        <v>101</v>
      </c>
      <c r="B25" s="22" t="n">
        <f aca="false">INDEX(Inputs!$K$22:$K$37,MATCH(B$4,Inputs!$A$22:$A$37,0))</f>
        <v>2.5</v>
      </c>
      <c r="C25" s="22" t="n">
        <f aca="false">INDEX(Inputs!$K$22:$K$37,MATCH(C$4,Inputs!$A$22:$A$37,0))</f>
        <v>2.5</v>
      </c>
      <c r="D25" s="22" t="n">
        <f aca="false">INDEX(Inputs!$K$22:$K$37,MATCH(D$4,Inputs!$A$22:$A$37,0))</f>
        <v>2.5</v>
      </c>
      <c r="E25" s="22" t="n">
        <f aca="false">INDEX(Inputs!$K$22:$K$37,MATCH(E$4,Inputs!$A$22:$A$37,0))</f>
        <v>2.5</v>
      </c>
      <c r="F25" s="22" t="n">
        <f aca="false">INDEX(Inputs!$K$22:$K$37,MATCH(F$4,Inputs!$A$22:$A$37,0))</f>
        <v>2.5</v>
      </c>
      <c r="G25" s="22" t="n">
        <f aca="false">INDEX(Inputs!$K$22:$K$37,MATCH(G$4,Inputs!$A$22:$A$37,0))</f>
        <v>2.5</v>
      </c>
    </row>
    <row r="26" customFormat="false" ht="15" hidden="false" customHeight="false" outlineLevel="0" collapsed="false">
      <c r="A26" s="10" t="s">
        <v>102</v>
      </c>
      <c r="B26" s="22" t="n">
        <f aca="false">INDEX(Inputs!$J$22:$J$37,MATCH(B$4,Inputs!$A$22:$A$37,0))</f>
        <v>1</v>
      </c>
      <c r="C26" s="22" t="n">
        <f aca="false">INDEX(Inputs!$J$22:$J$37,MATCH(C$4,Inputs!$A$22:$A$37,0))</f>
        <v>1</v>
      </c>
      <c r="D26" s="22" t="n">
        <f aca="false">INDEX(Inputs!$J$22:$J$37,MATCH(D$4,Inputs!$A$22:$A$37,0))</f>
        <v>1</v>
      </c>
      <c r="E26" s="22" t="n">
        <f aca="false">INDEX(Inputs!$J$22:$J$37,MATCH(E$4,Inputs!$A$22:$A$37,0))</f>
        <v>1</v>
      </c>
      <c r="F26" s="22" t="n">
        <f aca="false">INDEX(Inputs!$J$22:$J$37,MATCH(F$4,Inputs!$A$22:$A$37,0))</f>
        <v>1</v>
      </c>
      <c r="G26" s="22" t="n">
        <f aca="false">INDEX(Inputs!$J$22:$J$37,MATCH(G$4,Inputs!$A$22:$A$37,0))</f>
        <v>1</v>
      </c>
    </row>
    <row r="27" customFormat="false" ht="15" hidden="false" customHeight="false" outlineLevel="0" collapsed="false">
      <c r="A27" s="10" t="s">
        <v>103</v>
      </c>
      <c r="B27" s="22" t="n">
        <f aca="false">INDEX(Inputs!$I$22:$I$37,MATCH(B$4,Inputs!$A$22:$A$37,0))</f>
        <v>18</v>
      </c>
      <c r="C27" s="22" t="n">
        <f aca="false">INDEX(Inputs!$I$22:$I$37,MATCH(C$4,Inputs!$A$22:$A$37,0))</f>
        <v>18</v>
      </c>
      <c r="D27" s="22" t="n">
        <f aca="false">INDEX(Inputs!$I$22:$I$37,MATCH(D$4,Inputs!$A$22:$A$37,0))</f>
        <v>18</v>
      </c>
      <c r="E27" s="22" t="n">
        <f aca="false">INDEX(Inputs!$I$22:$I$37,MATCH(E$4,Inputs!$A$22:$A$37,0))</f>
        <v>16</v>
      </c>
      <c r="F27" s="22" t="n">
        <f aca="false">INDEX(Inputs!$I$22:$I$37,MATCH(F$4,Inputs!$A$22:$A$37,0))</f>
        <v>16</v>
      </c>
      <c r="G27" s="22" t="n">
        <f aca="false">INDEX(Inputs!$I$22:$I$37,MATCH(G$4,Inputs!$A$22:$A$37,0))</f>
        <v>16</v>
      </c>
    </row>
    <row r="28" customFormat="false" ht="15" hidden="false" customHeight="false" outlineLevel="0" collapsed="false">
      <c r="A28" s="10" t="s">
        <v>104</v>
      </c>
      <c r="B28" s="22" t="n">
        <f aca="false">INDEX(Inputs!$M$22:$M$37,MATCH(B$4,Inputs!$A$22:$A$37,0))</f>
        <v>0</v>
      </c>
      <c r="C28" s="22" t="n">
        <f aca="false">INDEX(Inputs!$M$22:$M$37,MATCH(C$4,Inputs!$A$22:$A$37,0))</f>
        <v>0</v>
      </c>
      <c r="D28" s="22" t="n">
        <f aca="false">INDEX(Inputs!$M$22:$M$37,MATCH(D$4,Inputs!$A$22:$A$37,0))</f>
        <v>0</v>
      </c>
      <c r="E28" s="22" t="n">
        <f aca="false">INDEX(Inputs!$M$22:$M$37,MATCH(E$4,Inputs!$A$22:$A$37,0))</f>
        <v>0</v>
      </c>
      <c r="F28" s="22" t="n">
        <f aca="false">INDEX(Inputs!$M$22:$M$37,MATCH(F$4,Inputs!$A$22:$A$37,0))</f>
        <v>0</v>
      </c>
      <c r="G28" s="22" t="n">
        <f aca="false">INDEX(Inputs!$M$22:$M$37,MATCH(G$4,Inputs!$A$22:$A$37,0))</f>
        <v>0</v>
      </c>
    </row>
    <row r="29" customFormat="false" ht="15" hidden="false" customHeight="false" outlineLevel="0" collapsed="false">
      <c r="A29" s="10" t="s">
        <v>105</v>
      </c>
      <c r="B29" s="22" t="n">
        <f aca="false">INDEX(Inputs!$L$22:$L$37,MATCH(B$4,Inputs!$A$22:$A$37,0))</f>
        <v>3.5</v>
      </c>
      <c r="C29" s="22" t="n">
        <f aca="false">INDEX(Inputs!$L$22:$L$37,MATCH(C$4,Inputs!$A$22:$A$37,0))</f>
        <v>3.5</v>
      </c>
      <c r="D29" s="22" t="n">
        <f aca="false">INDEX(Inputs!$L$22:$L$37,MATCH(D$4,Inputs!$A$22:$A$37,0))</f>
        <v>3.5</v>
      </c>
      <c r="E29" s="22" t="n">
        <f aca="false">INDEX(Inputs!$L$22:$L$37,MATCH(E$4,Inputs!$A$22:$A$37,0))</f>
        <v>3.5</v>
      </c>
      <c r="F29" s="22" t="n">
        <f aca="false">INDEX(Inputs!$L$22:$L$37,MATCH(F$4,Inputs!$A$22:$A$37,0))</f>
        <v>3.5</v>
      </c>
      <c r="G29" s="22" t="n">
        <f aca="false">INDEX(Inputs!$L$22:$L$37,MATCH(G$4,Inputs!$A$22:$A$37,0))</f>
        <v>3.5</v>
      </c>
    </row>
    <row r="31" customFormat="false" ht="21.75" hidden="false" customHeight="true" outlineLevel="0" collapsed="false">
      <c r="A31" s="24" t="s">
        <v>106</v>
      </c>
      <c r="B31" s="25" t="n">
        <f aca="false">B10+B15+B19+B22+B24+B25+B26+B27+B28+B29</f>
        <v>63.5631</v>
      </c>
      <c r="C31" s="25" t="n">
        <f aca="false">C10+C15+C19+C22+C24+C25+C26+C27+C28+C29</f>
        <v>56.5631</v>
      </c>
      <c r="D31" s="25" t="n">
        <f aca="false">D10+D15+D19+D22+D24+D25+D26+D27+D28+D29</f>
        <v>49.3131</v>
      </c>
      <c r="E31" s="25" t="n">
        <f aca="false">E10+E15+E19+E22+E24+E25+E26+E27+E28+E29</f>
        <v>56.164</v>
      </c>
      <c r="F31" s="25" t="n">
        <f aca="false">F10+F15+F19+F22+F24+F25+F26+F27+F28+F29</f>
        <v>49.164</v>
      </c>
      <c r="G31" s="25" t="n">
        <f aca="false">G10+G15+G19+G22+G24+G25+G26+G27+G28+G29</f>
        <v>41.914</v>
      </c>
    </row>
    <row r="32" customFormat="false" ht="30" hidden="false" customHeight="true" outlineLevel="0" collapsed="false">
      <c r="A32" s="10" t="s">
        <v>107</v>
      </c>
      <c r="B32" s="26" t="str">
        <f aca="false">IF(B7="","NO FABRIC SET — total excludes fabric",IF(B8=0,"MISSING YIELD — fabric not in total",IF(B9=0,"MISSING FABRIC PRICE — fabric not in total",IF(AND(B12&lt;&gt;"",B13=0),"MISSING RIB YIELD — rib not in total","Complete"))))</f>
        <v>Complete</v>
      </c>
      <c r="C32" s="26" t="str">
        <f aca="false">IF(C7="","NO FABRIC SET — total excludes fabric",IF(C8=0,"MISSING YIELD — fabric not in total",IF(C9=0,"MISSING FABRIC PRICE — fabric not in total",IF(AND(C12&lt;&gt;"",C13=0),"MISSING RIB YIELD — rib not in total","Complete"))))</f>
        <v>Complete</v>
      </c>
      <c r="D32" s="26" t="str">
        <f aca="false">IF(D7="","NO FABRIC SET — total excludes fabric",IF(D8=0,"MISSING YIELD — fabric not in total",IF(D9=0,"MISSING FABRIC PRICE — fabric not in total",IF(AND(D12&lt;&gt;"",D13=0),"MISSING RIB YIELD — rib not in total","Complete"))))</f>
        <v>Complete</v>
      </c>
      <c r="E32" s="26" t="str">
        <f aca="false">IF(E7="","NO FABRIC SET — total excludes fabric",IF(E8=0,"MISSING YIELD — fabric not in total",IF(E9=0,"MISSING FABRIC PRICE — fabric not in total",IF(AND(E12&lt;&gt;"",E13=0),"MISSING RIB YIELD — rib not in total","Complete"))))</f>
        <v>Complete</v>
      </c>
      <c r="F32" s="26" t="str">
        <f aca="false">IF(F7="","NO FABRIC SET — total excludes fabric",IF(F8=0,"MISSING YIELD — fabric not in total",IF(F9=0,"MISSING FABRIC PRICE — fabric not in total",IF(AND(F12&lt;&gt;"",F13=0),"MISSING RIB YIELD — rib not in total","Complete"))))</f>
        <v>Complete</v>
      </c>
      <c r="G32" s="26" t="str">
        <f aca="false">IF(G7="","NO FABRIC SET — total excludes fabric",IF(G8=0,"MISSING YIELD — fabric not in total",IF(G9=0,"MISSING FABRIC PRICE — fabric not in total",IF(AND(G12&lt;&gt;"",G13=0),"MISSING RIB YIELD — rib not in total","Complete"))))</f>
        <v>Complete</v>
      </c>
    </row>
    <row r="33" customFormat="false" ht="15" hidden="false" customHeight="false" outlineLevel="0" collapsed="false">
      <c r="A33" s="18" t="s">
        <v>67</v>
      </c>
      <c r="B33" s="19"/>
      <c r="C33" s="19"/>
      <c r="D33" s="19"/>
      <c r="E33" s="19"/>
      <c r="F33" s="19"/>
      <c r="G33" s="19"/>
    </row>
    <row r="34" customFormat="false" ht="15" hidden="false" customHeight="false" outlineLevel="0" collapsed="false">
      <c r="A34" s="10" t="s">
        <v>70</v>
      </c>
      <c r="B34" s="27" t="n">
        <f aca="false">Inputs!$B$52</f>
        <v>0.2</v>
      </c>
      <c r="C34" s="27" t="n">
        <f aca="false">Inputs!$B$52</f>
        <v>0.2</v>
      </c>
      <c r="D34" s="27" t="n">
        <f aca="false">Inputs!$B$52</f>
        <v>0.2</v>
      </c>
      <c r="E34" s="27" t="n">
        <f aca="false">Inputs!$B$52</f>
        <v>0.2</v>
      </c>
      <c r="F34" s="27" t="n">
        <f aca="false">Inputs!$B$52</f>
        <v>0.2</v>
      </c>
      <c r="G34" s="27" t="n">
        <f aca="false">Inputs!$B$52</f>
        <v>0.2</v>
      </c>
    </row>
    <row r="35" customFormat="false" ht="15" hidden="false" customHeight="false" outlineLevel="0" collapsed="false">
      <c r="A35" s="10" t="s">
        <v>108</v>
      </c>
      <c r="B35" s="28" t="n">
        <f aca="false">B31*B34</f>
        <v>12.71262</v>
      </c>
      <c r="C35" s="28" t="n">
        <f aca="false">C31*C34</f>
        <v>11.31262</v>
      </c>
      <c r="D35" s="28" t="n">
        <f aca="false">D31*D34</f>
        <v>9.86262</v>
      </c>
      <c r="E35" s="28" t="n">
        <f aca="false">E31*E34</f>
        <v>11.2328</v>
      </c>
      <c r="F35" s="28" t="n">
        <f aca="false">F31*F34</f>
        <v>9.8328</v>
      </c>
      <c r="G35" s="28" t="n">
        <f aca="false">G31*G34</f>
        <v>8.3828</v>
      </c>
    </row>
    <row r="36" customFormat="false" ht="21.75" hidden="false" customHeight="true" outlineLevel="0" collapsed="false">
      <c r="A36" s="24" t="s">
        <v>109</v>
      </c>
      <c r="B36" s="25" t="n">
        <f aca="false">B31+B35</f>
        <v>76.27572</v>
      </c>
      <c r="C36" s="25" t="n">
        <f aca="false">C31+C35</f>
        <v>67.87572</v>
      </c>
      <c r="D36" s="25" t="n">
        <f aca="false">D31+D35</f>
        <v>59.17572</v>
      </c>
      <c r="E36" s="25" t="n">
        <f aca="false">E31+E35</f>
        <v>67.3968</v>
      </c>
      <c r="F36" s="25" t="n">
        <f aca="false">F31+F35</f>
        <v>58.9968</v>
      </c>
      <c r="G36" s="25" t="n">
        <f aca="false">G31+G35</f>
        <v>50.2968</v>
      </c>
    </row>
    <row r="37" customFormat="false" ht="15" hidden="false" customHeight="false" outlineLevel="0" collapsed="false">
      <c r="A37" s="10" t="s">
        <v>72</v>
      </c>
      <c r="B37" s="29" t="n">
        <f aca="false">Inputs!$B$53</f>
        <v>2.5</v>
      </c>
      <c r="C37" s="29" t="n">
        <f aca="false">Inputs!$B$53</f>
        <v>2.5</v>
      </c>
      <c r="D37" s="29" t="n">
        <f aca="false">Inputs!$B$53</f>
        <v>2.5</v>
      </c>
      <c r="E37" s="29" t="n">
        <f aca="false">Inputs!$B$53</f>
        <v>2.5</v>
      </c>
      <c r="F37" s="29" t="n">
        <f aca="false">Inputs!$B$53</f>
        <v>2.5</v>
      </c>
      <c r="G37" s="29" t="n">
        <f aca="false">Inputs!$B$53</f>
        <v>2.5</v>
      </c>
    </row>
    <row r="38" customFormat="false" ht="21.75" hidden="false" customHeight="true" outlineLevel="0" collapsed="false">
      <c r="A38" s="24" t="s">
        <v>110</v>
      </c>
      <c r="B38" s="25" t="n">
        <f aca="false">B36*B37</f>
        <v>190.6893</v>
      </c>
      <c r="C38" s="25" t="n">
        <f aca="false">C36*C37</f>
        <v>169.6893</v>
      </c>
      <c r="D38" s="25" t="n">
        <f aca="false">D36*D37</f>
        <v>147.9393</v>
      </c>
      <c r="E38" s="25" t="n">
        <f aca="false">E36*E37</f>
        <v>168.492</v>
      </c>
      <c r="F38" s="25" t="n">
        <f aca="false">F36*F37</f>
        <v>147.492</v>
      </c>
      <c r="G38" s="25" t="n">
        <f aca="false">G36*G37</f>
        <v>125.742</v>
      </c>
    </row>
    <row r="40" customFormat="false" ht="15" hidden="false" customHeight="false" outlineLevel="0" collapsed="false">
      <c r="A40" s="18" t="s">
        <v>111</v>
      </c>
      <c r="B40" s="19"/>
      <c r="C40" s="19"/>
      <c r="D40" s="19"/>
      <c r="E40" s="19"/>
      <c r="F40" s="19"/>
      <c r="G40" s="19"/>
    </row>
    <row r="41" customFormat="false" ht="15" hidden="false" customHeight="false" outlineLevel="0" collapsed="false">
      <c r="A41" s="10" t="s">
        <v>112</v>
      </c>
      <c r="B41" s="22" t="n">
        <f aca="false">Inputs!$B$57</f>
        <v>200</v>
      </c>
      <c r="C41" s="22" t="n">
        <f aca="false">Inputs!$B$57</f>
        <v>200</v>
      </c>
      <c r="D41" s="22" t="n">
        <f aca="false">Inputs!$B$57</f>
        <v>200</v>
      </c>
      <c r="E41" s="22" t="n">
        <f aca="false">Inputs!$B$57</f>
        <v>200</v>
      </c>
      <c r="F41" s="22" t="n">
        <f aca="false">Inputs!$B$57</f>
        <v>200</v>
      </c>
      <c r="G41" s="22" t="n">
        <f aca="false">Inputs!$B$57</f>
        <v>200</v>
      </c>
    </row>
    <row r="42" customFormat="false" ht="15" hidden="false" customHeight="false" outlineLevel="0" collapsed="false">
      <c r="A42" s="10" t="s">
        <v>113</v>
      </c>
      <c r="B42" s="22" t="n">
        <f aca="false">Inputs!$B$58</f>
        <v>250</v>
      </c>
      <c r="C42" s="22" t="n">
        <f aca="false">Inputs!$B$58</f>
        <v>250</v>
      </c>
      <c r="D42" s="22" t="n">
        <f aca="false">Inputs!$B$58</f>
        <v>250</v>
      </c>
      <c r="E42" s="22" t="n">
        <f aca="false">Inputs!$B$58</f>
        <v>250</v>
      </c>
      <c r="F42" s="22" t="n">
        <f aca="false">Inputs!$B$58</f>
        <v>250</v>
      </c>
      <c r="G42" s="22" t="n">
        <f aca="false">Inputs!$B$58</f>
        <v>250</v>
      </c>
    </row>
    <row r="43" customFormat="false" ht="15" hidden="false" customHeight="false" outlineLevel="0" collapsed="false">
      <c r="A43" s="15" t="s">
        <v>114</v>
      </c>
      <c r="B43" s="23" t="n">
        <f aca="false">B41+B42</f>
        <v>450</v>
      </c>
      <c r="C43" s="23" t="n">
        <f aca="false">C41+C42</f>
        <v>450</v>
      </c>
      <c r="D43" s="23" t="n">
        <f aca="false">D41+D42</f>
        <v>450</v>
      </c>
      <c r="E43" s="23" t="n">
        <f aca="false">E41+E42</f>
        <v>450</v>
      </c>
      <c r="F43" s="23" t="n">
        <f aca="false">F41+F42</f>
        <v>450</v>
      </c>
      <c r="G43" s="23" t="n">
        <f aca="false">G41+G42</f>
        <v>450</v>
      </c>
    </row>
  </sheetData>
  <mergeCells count="1">
    <mergeCell ref="A2:G2"/>
  </mergeCells>
  <conditionalFormatting sqref="B32:G32">
    <cfRule type="expression" priority="2" aboveAverage="0" equalAverage="0" bottom="0" percent="0" rank="0" text="" dxfId="0">
      <formula>OR(LEFT(B32,7)="MISSING",LEFT(B32,9)="NO FABRIC")</formula>
    </cfRule>
  </conditionalFormatting>
  <dataValidations count="2">
    <dataValidation allowBlank="false" errorStyle="stop" operator="between" showDropDown="false" showErrorMessage="false" showInputMessage="false" sqref="B4:G4" type="list">
      <formula1>Inputs!$A$22:$A$37</formula1>
      <formula2>0</formula2>
    </dataValidation>
    <dataValidation allowBlank="true" errorStyle="stop" operator="between" showDropDown="false" showErrorMessage="false" showInputMessage="false" sqref="B5:G5" type="list">
      <formula1>Inputs!$A$43:$A$48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1" min="2" style="0" width="19"/>
  </cols>
  <sheetData>
    <row r="1" customFormat="false" ht="17.35" hidden="false" customHeight="false" outlineLevel="0" collapsed="false">
      <c r="A1" s="1" t="s">
        <v>116</v>
      </c>
    </row>
    <row r="2" customFormat="false" ht="27.75" hidden="false" customHeight="true" outlineLevel="0" collapsed="false">
      <c r="A2" s="2" t="s">
        <v>83</v>
      </c>
      <c r="B2" s="2"/>
      <c r="C2" s="2"/>
      <c r="D2" s="2"/>
      <c r="E2" s="2"/>
      <c r="F2" s="2"/>
      <c r="G2" s="2"/>
      <c r="H2" s="2"/>
      <c r="I2" s="2"/>
      <c r="J2" s="2"/>
      <c r="K2" s="2"/>
    </row>
    <row r="4" customFormat="false" ht="30" hidden="false" customHeight="true" outlineLevel="0" collapsed="false">
      <c r="A4" s="15" t="s">
        <v>20</v>
      </c>
      <c r="B4" s="17" t="s">
        <v>46</v>
      </c>
      <c r="C4" s="17" t="s">
        <v>46</v>
      </c>
      <c r="D4" s="17" t="s">
        <v>46</v>
      </c>
      <c r="E4" s="17" t="s">
        <v>49</v>
      </c>
      <c r="F4" s="17" t="s">
        <v>49</v>
      </c>
      <c r="G4" s="17" t="s">
        <v>49</v>
      </c>
      <c r="H4" s="17" t="s">
        <v>51</v>
      </c>
      <c r="I4" s="17" t="s">
        <v>51</v>
      </c>
      <c r="J4" s="17" t="s">
        <v>51</v>
      </c>
      <c r="K4" s="17" t="s">
        <v>53</v>
      </c>
    </row>
    <row r="5" customFormat="false" ht="30" hidden="false" customHeight="true" outlineLevel="0" collapsed="false">
      <c r="A5" s="15" t="s">
        <v>61</v>
      </c>
      <c r="B5" s="17" t="s">
        <v>62</v>
      </c>
      <c r="C5" s="17" t="s">
        <v>63</v>
      </c>
      <c r="D5" s="17" t="s">
        <v>65</v>
      </c>
      <c r="E5" s="17" t="s">
        <v>62</v>
      </c>
      <c r="F5" s="17" t="s">
        <v>63</v>
      </c>
      <c r="G5" s="17" t="s">
        <v>65</v>
      </c>
      <c r="H5" s="17" t="s">
        <v>62</v>
      </c>
      <c r="I5" s="17" t="s">
        <v>63</v>
      </c>
      <c r="J5" s="17" t="s">
        <v>65</v>
      </c>
      <c r="K5" s="17"/>
    </row>
    <row r="6" customFormat="false" ht="15" hidden="false" customHeight="false" outlineLevel="0" collapsed="false">
      <c r="A6" s="18" t="s">
        <v>84</v>
      </c>
      <c r="B6" s="19"/>
      <c r="C6" s="19"/>
      <c r="D6" s="19"/>
      <c r="E6" s="19"/>
      <c r="F6" s="19"/>
      <c r="G6" s="19"/>
      <c r="H6" s="19"/>
      <c r="I6" s="19"/>
      <c r="J6" s="19"/>
      <c r="K6" s="19"/>
    </row>
    <row r="7" customFormat="false" ht="30" hidden="false" customHeight="true" outlineLevel="0" collapsed="false">
      <c r="A7" s="10" t="s">
        <v>22</v>
      </c>
      <c r="B7" s="20" t="str">
        <f aca="false">IF(INDEX(Inputs!$C$22:$C$37,MATCH(B$4,Inputs!$A$22:$A$37,0))="","",INDEX(Inputs!$C$22:$C$37,MATCH(B$4,Inputs!$A$22:$A$37,0)))</f>
        <v>Jersey</v>
      </c>
      <c r="C7" s="20" t="str">
        <f aca="false">IF(INDEX(Inputs!$C$22:$C$37,MATCH(C$4,Inputs!$A$22:$A$37,0))="","",INDEX(Inputs!$C$22:$C$37,MATCH(C$4,Inputs!$A$22:$A$37,0)))</f>
        <v>Jersey</v>
      </c>
      <c r="D7" s="20" t="str">
        <f aca="false">IF(INDEX(Inputs!$C$22:$C$37,MATCH(D$4,Inputs!$A$22:$A$37,0))="","",INDEX(Inputs!$C$22:$C$37,MATCH(D$4,Inputs!$A$22:$A$37,0)))</f>
        <v>Jersey</v>
      </c>
      <c r="E7" s="20" t="str">
        <f aca="false">IF(INDEX(Inputs!$C$22:$C$37,MATCH(E$4,Inputs!$A$22:$A$37,0))="","",INDEX(Inputs!$C$22:$C$37,MATCH(E$4,Inputs!$A$22:$A$37,0)))</f>
        <v>Jersey</v>
      </c>
      <c r="F7" s="20" t="str">
        <f aca="false">IF(INDEX(Inputs!$C$22:$C$37,MATCH(F$4,Inputs!$A$22:$A$37,0))="","",INDEX(Inputs!$C$22:$C$37,MATCH(F$4,Inputs!$A$22:$A$37,0)))</f>
        <v>Jersey</v>
      </c>
      <c r="G7" s="20" t="str">
        <f aca="false">IF(INDEX(Inputs!$C$22:$C$37,MATCH(G$4,Inputs!$A$22:$A$37,0))="","",INDEX(Inputs!$C$22:$C$37,MATCH(G$4,Inputs!$A$22:$A$37,0)))</f>
        <v>Jersey</v>
      </c>
      <c r="H7" s="20" t="str">
        <f aca="false">IF(INDEX(Inputs!$C$22:$C$37,MATCH(H$4,Inputs!$A$22:$A$37,0))="","",INDEX(Inputs!$C$22:$C$37,MATCH(H$4,Inputs!$A$22:$A$37,0)))</f>
        <v>Thermal</v>
      </c>
      <c r="I7" s="20" t="str">
        <f aca="false">IF(INDEX(Inputs!$C$22:$C$37,MATCH(I$4,Inputs!$A$22:$A$37,0))="","",INDEX(Inputs!$C$22:$C$37,MATCH(I$4,Inputs!$A$22:$A$37,0)))</f>
        <v>Thermal</v>
      </c>
      <c r="J7" s="20" t="str">
        <f aca="false">IF(INDEX(Inputs!$C$22:$C$37,MATCH(J$4,Inputs!$A$22:$A$37,0))="","",INDEX(Inputs!$C$22:$C$37,MATCH(J$4,Inputs!$A$22:$A$37,0)))</f>
        <v>Thermal</v>
      </c>
      <c r="K7" s="20" t="str">
        <f aca="false">IF(INDEX(Inputs!$C$22:$C$37,MATCH(K$4,Inputs!$A$22:$A$37,0))="","",INDEX(Inputs!$C$22:$C$37,MATCH(K$4,Inputs!$A$22:$A$37,0)))</f>
        <v>Rib Knit</v>
      </c>
    </row>
    <row r="8" customFormat="false" ht="15" hidden="false" customHeight="false" outlineLevel="0" collapsed="false">
      <c r="A8" s="10" t="s">
        <v>85</v>
      </c>
      <c r="B8" s="21" t="n">
        <f aca="false">INDEX(Inputs!$D$22:$D$37,MATCH(B$4,Inputs!$A$22:$A$37,0))</f>
        <v>1.08</v>
      </c>
      <c r="C8" s="21" t="n">
        <f aca="false">INDEX(Inputs!$D$22:$D$37,MATCH(C$4,Inputs!$A$22:$A$37,0))</f>
        <v>1.08</v>
      </c>
      <c r="D8" s="21" t="n">
        <f aca="false">INDEX(Inputs!$D$22:$D$37,MATCH(D$4,Inputs!$A$22:$A$37,0))</f>
        <v>1.08</v>
      </c>
      <c r="E8" s="21" t="n">
        <f aca="false">INDEX(Inputs!$D$22:$D$37,MATCH(E$4,Inputs!$A$22:$A$37,0))</f>
        <v>1.6</v>
      </c>
      <c r="F8" s="21" t="n">
        <f aca="false">INDEX(Inputs!$D$22:$D$37,MATCH(F$4,Inputs!$A$22:$A$37,0))</f>
        <v>1.6</v>
      </c>
      <c r="G8" s="21" t="n">
        <f aca="false">INDEX(Inputs!$D$22:$D$37,MATCH(G$4,Inputs!$A$22:$A$37,0))</f>
        <v>1.6</v>
      </c>
      <c r="H8" s="21" t="n">
        <f aca="false">INDEX(Inputs!$D$22:$D$37,MATCH(H$4,Inputs!$A$22:$A$37,0))</f>
        <v>1.6</v>
      </c>
      <c r="I8" s="21" t="n">
        <f aca="false">INDEX(Inputs!$D$22:$D$37,MATCH(I$4,Inputs!$A$22:$A$37,0))</f>
        <v>1.6</v>
      </c>
      <c r="J8" s="21" t="n">
        <f aca="false">INDEX(Inputs!$D$22:$D$37,MATCH(J$4,Inputs!$A$22:$A$37,0))</f>
        <v>1.6</v>
      </c>
      <c r="K8" s="21" t="n">
        <f aca="false">INDEX(Inputs!$D$22:$D$37,MATCH(K$4,Inputs!$A$22:$A$37,0))</f>
        <v>0.75</v>
      </c>
    </row>
    <row r="9" customFormat="false" ht="15" hidden="false" customHeight="false" outlineLevel="0" collapsed="false">
      <c r="A9" s="10" t="s">
        <v>86</v>
      </c>
      <c r="B9" s="22" t="n">
        <f aca="false">IF(B7="",0,INDEX(Inputs!$B$6:$B$13,MATCH(B7,Inputs!$A$6:$A$13,0)))</f>
        <v>3.95</v>
      </c>
      <c r="C9" s="22" t="n">
        <f aca="false">IF(C7="",0,INDEX(Inputs!$B$6:$B$13,MATCH(C7,Inputs!$A$6:$A$13,0)))</f>
        <v>3.95</v>
      </c>
      <c r="D9" s="22" t="n">
        <f aca="false">IF(D7="",0,INDEX(Inputs!$B$6:$B$13,MATCH(D7,Inputs!$A$6:$A$13,0)))</f>
        <v>3.95</v>
      </c>
      <c r="E9" s="22" t="n">
        <f aca="false">IF(E7="",0,INDEX(Inputs!$B$6:$B$13,MATCH(E7,Inputs!$A$6:$A$13,0)))</f>
        <v>3.95</v>
      </c>
      <c r="F9" s="22" t="n">
        <f aca="false">IF(F7="",0,INDEX(Inputs!$B$6:$B$13,MATCH(F7,Inputs!$A$6:$A$13,0)))</f>
        <v>3.95</v>
      </c>
      <c r="G9" s="22" t="n">
        <f aca="false">IF(G7="",0,INDEX(Inputs!$B$6:$B$13,MATCH(G7,Inputs!$A$6:$A$13,0)))</f>
        <v>3.95</v>
      </c>
      <c r="H9" s="22" t="n">
        <f aca="false">IF(H7="",0,INDEX(Inputs!$B$6:$B$13,MATCH(H7,Inputs!$A$6:$A$13,0)))</f>
        <v>4.95</v>
      </c>
      <c r="I9" s="22" t="n">
        <f aca="false">IF(I7="",0,INDEX(Inputs!$B$6:$B$13,MATCH(I7,Inputs!$A$6:$A$13,0)))</f>
        <v>4.95</v>
      </c>
      <c r="J9" s="22" t="n">
        <f aca="false">IF(J7="",0,INDEX(Inputs!$B$6:$B$13,MATCH(J7,Inputs!$A$6:$A$13,0)))</f>
        <v>4.95</v>
      </c>
      <c r="K9" s="22" t="n">
        <f aca="false">IF(K7="",0,INDEX(Inputs!$B$6:$B$13,MATCH(K7,Inputs!$A$6:$A$13,0)))</f>
        <v>6.95</v>
      </c>
    </row>
    <row r="10" customFormat="false" ht="15" hidden="false" customHeight="false" outlineLevel="0" collapsed="false">
      <c r="A10" s="15" t="s">
        <v>87</v>
      </c>
      <c r="B10" s="23" t="n">
        <f aca="false">B8*B9</f>
        <v>4.266</v>
      </c>
      <c r="C10" s="23" t="n">
        <f aca="false">C8*C9</f>
        <v>4.266</v>
      </c>
      <c r="D10" s="23" t="n">
        <f aca="false">D8*D9</f>
        <v>4.266</v>
      </c>
      <c r="E10" s="23" t="n">
        <f aca="false">E8*E9</f>
        <v>6.32</v>
      </c>
      <c r="F10" s="23" t="n">
        <f aca="false">F8*F9</f>
        <v>6.32</v>
      </c>
      <c r="G10" s="23" t="n">
        <f aca="false">G8*G9</f>
        <v>6.32</v>
      </c>
      <c r="H10" s="23" t="n">
        <f aca="false">H8*H9</f>
        <v>7.92</v>
      </c>
      <c r="I10" s="23" t="n">
        <f aca="false">I8*I9</f>
        <v>7.92</v>
      </c>
      <c r="J10" s="23" t="n">
        <f aca="false">J8*J9</f>
        <v>7.92</v>
      </c>
      <c r="K10" s="23" t="n">
        <f aca="false">K8*K9</f>
        <v>5.2125</v>
      </c>
    </row>
    <row r="11" customFormat="false" ht="15" hidden="false" customHeight="false" outlineLevel="0" collapsed="false">
      <c r="A11" s="18" t="s">
        <v>88</v>
      </c>
      <c r="B11" s="19"/>
      <c r="C11" s="19"/>
      <c r="D11" s="19"/>
      <c r="E11" s="19"/>
      <c r="F11" s="19"/>
      <c r="G11" s="19"/>
      <c r="H11" s="19"/>
      <c r="I11" s="19"/>
      <c r="J11" s="19"/>
      <c r="K11" s="19"/>
    </row>
    <row r="12" customFormat="false" ht="15" hidden="false" customHeight="false" outlineLevel="0" collapsed="false">
      <c r="A12" s="10" t="s">
        <v>24</v>
      </c>
      <c r="B12" s="20" t="str">
        <f aca="false">IF(INDEX(Inputs!$E$22:$E$37,MATCH(B$4,Inputs!$A$22:$A$37,0))="","",INDEX(Inputs!$E$22:$E$37,MATCH(B$4,Inputs!$A$22:$A$37,0)))</f>
        <v>Collar Rib (Tees)</v>
      </c>
      <c r="C12" s="20" t="str">
        <f aca="false">IF(INDEX(Inputs!$E$22:$E$37,MATCH(C$4,Inputs!$A$22:$A$37,0))="","",INDEX(Inputs!$E$22:$E$37,MATCH(C$4,Inputs!$A$22:$A$37,0)))</f>
        <v>Collar Rib (Tees)</v>
      </c>
      <c r="D12" s="20" t="str">
        <f aca="false">IF(INDEX(Inputs!$E$22:$E$37,MATCH(D$4,Inputs!$A$22:$A$37,0))="","",INDEX(Inputs!$E$22:$E$37,MATCH(D$4,Inputs!$A$22:$A$37,0)))</f>
        <v>Collar Rib (Tees)</v>
      </c>
      <c r="E12" s="20" t="str">
        <f aca="false">IF(INDEX(Inputs!$E$22:$E$37,MATCH(E$4,Inputs!$A$22:$A$37,0))="","",INDEX(Inputs!$E$22:$E$37,MATCH(E$4,Inputs!$A$22:$A$37,0)))</f>
        <v>Collar Rib (Tees)</v>
      </c>
      <c r="F12" s="20" t="str">
        <f aca="false">IF(INDEX(Inputs!$E$22:$E$37,MATCH(F$4,Inputs!$A$22:$A$37,0))="","",INDEX(Inputs!$E$22:$E$37,MATCH(F$4,Inputs!$A$22:$A$37,0)))</f>
        <v>Collar Rib (Tees)</v>
      </c>
      <c r="G12" s="20" t="str">
        <f aca="false">IF(INDEX(Inputs!$E$22:$E$37,MATCH(G$4,Inputs!$A$22:$A$37,0))="","",INDEX(Inputs!$E$22:$E$37,MATCH(G$4,Inputs!$A$22:$A$37,0)))</f>
        <v>Collar Rib (Tees)</v>
      </c>
      <c r="H12" s="20" t="str">
        <f aca="false">IF(INDEX(Inputs!$E$22:$E$37,MATCH(H$4,Inputs!$A$22:$A$37,0))="","",INDEX(Inputs!$E$22:$E$37,MATCH(H$4,Inputs!$A$22:$A$37,0)))</f>
        <v>Collar Rib (Tees)</v>
      </c>
      <c r="I12" s="20" t="str">
        <f aca="false">IF(INDEX(Inputs!$E$22:$E$37,MATCH(I$4,Inputs!$A$22:$A$37,0))="","",INDEX(Inputs!$E$22:$E$37,MATCH(I$4,Inputs!$A$22:$A$37,0)))</f>
        <v>Collar Rib (Tees)</v>
      </c>
      <c r="J12" s="20" t="str">
        <f aca="false">IF(INDEX(Inputs!$E$22:$E$37,MATCH(J$4,Inputs!$A$22:$A$37,0))="","",INDEX(Inputs!$E$22:$E$37,MATCH(J$4,Inputs!$A$22:$A$37,0)))</f>
        <v>Collar Rib (Tees)</v>
      </c>
      <c r="K12" s="20" t="str">
        <f aca="false">IF(INDEX(Inputs!$E$22:$E$37,MATCH(K$4,Inputs!$A$22:$A$37,0))="","",INDEX(Inputs!$E$22:$E$37,MATCH(K$4,Inputs!$A$22:$A$37,0)))</f>
        <v/>
      </c>
    </row>
    <row r="13" customFormat="false" ht="15" hidden="false" customHeight="false" outlineLevel="0" collapsed="false">
      <c r="A13" s="10" t="s">
        <v>89</v>
      </c>
      <c r="B13" s="21" t="n">
        <f aca="false">INDEX(Inputs!$F$22:$F$37,MATCH(B$4,Inputs!$A$22:$A$37,0))</f>
        <v>0.25</v>
      </c>
      <c r="C13" s="21" t="n">
        <f aca="false">INDEX(Inputs!$F$22:$F$37,MATCH(C$4,Inputs!$A$22:$A$37,0))</f>
        <v>0.25</v>
      </c>
      <c r="D13" s="21" t="n">
        <f aca="false">INDEX(Inputs!$F$22:$F$37,MATCH(D$4,Inputs!$A$22:$A$37,0))</f>
        <v>0.25</v>
      </c>
      <c r="E13" s="21" t="n">
        <f aca="false">INDEX(Inputs!$F$22:$F$37,MATCH(E$4,Inputs!$A$22:$A$37,0))</f>
        <v>0.25</v>
      </c>
      <c r="F13" s="21" t="n">
        <f aca="false">INDEX(Inputs!$F$22:$F$37,MATCH(F$4,Inputs!$A$22:$A$37,0))</f>
        <v>0.25</v>
      </c>
      <c r="G13" s="21" t="n">
        <f aca="false">INDEX(Inputs!$F$22:$F$37,MATCH(G$4,Inputs!$A$22:$A$37,0))</f>
        <v>0.25</v>
      </c>
      <c r="H13" s="21" t="n">
        <f aca="false">INDEX(Inputs!$F$22:$F$37,MATCH(H$4,Inputs!$A$22:$A$37,0))</f>
        <v>0.25</v>
      </c>
      <c r="I13" s="21" t="n">
        <f aca="false">INDEX(Inputs!$F$22:$F$37,MATCH(I$4,Inputs!$A$22:$A$37,0))</f>
        <v>0.25</v>
      </c>
      <c r="J13" s="21" t="n">
        <f aca="false">INDEX(Inputs!$F$22:$F$37,MATCH(J$4,Inputs!$A$22:$A$37,0))</f>
        <v>0.25</v>
      </c>
      <c r="K13" s="21" t="n">
        <f aca="false">INDEX(Inputs!$F$22:$F$37,MATCH(K$4,Inputs!$A$22:$A$37,0))</f>
        <v>0</v>
      </c>
    </row>
    <row r="14" customFormat="false" ht="15" hidden="false" customHeight="false" outlineLevel="0" collapsed="false">
      <c r="A14" s="10" t="s">
        <v>90</v>
      </c>
      <c r="B14" s="22" t="n">
        <f aca="false">IF(B12="",0,INDEX(Inputs!$B$6:$B$13,MATCH(B12,Inputs!$A$6:$A$13,0)))</f>
        <v>3.95</v>
      </c>
      <c r="C14" s="22" t="n">
        <f aca="false">IF(C12="",0,INDEX(Inputs!$B$6:$B$13,MATCH(C12,Inputs!$A$6:$A$13,0)))</f>
        <v>3.95</v>
      </c>
      <c r="D14" s="22" t="n">
        <f aca="false">IF(D12="",0,INDEX(Inputs!$B$6:$B$13,MATCH(D12,Inputs!$A$6:$A$13,0)))</f>
        <v>3.95</v>
      </c>
      <c r="E14" s="22" t="n">
        <f aca="false">IF(E12="",0,INDEX(Inputs!$B$6:$B$13,MATCH(E12,Inputs!$A$6:$A$13,0)))</f>
        <v>3.95</v>
      </c>
      <c r="F14" s="22" t="n">
        <f aca="false">IF(F12="",0,INDEX(Inputs!$B$6:$B$13,MATCH(F12,Inputs!$A$6:$A$13,0)))</f>
        <v>3.95</v>
      </c>
      <c r="G14" s="22" t="n">
        <f aca="false">IF(G12="",0,INDEX(Inputs!$B$6:$B$13,MATCH(G12,Inputs!$A$6:$A$13,0)))</f>
        <v>3.95</v>
      </c>
      <c r="H14" s="22" t="n">
        <f aca="false">IF(H12="",0,INDEX(Inputs!$B$6:$B$13,MATCH(H12,Inputs!$A$6:$A$13,0)))</f>
        <v>3.95</v>
      </c>
      <c r="I14" s="22" t="n">
        <f aca="false">IF(I12="",0,INDEX(Inputs!$B$6:$B$13,MATCH(I12,Inputs!$A$6:$A$13,0)))</f>
        <v>3.95</v>
      </c>
      <c r="J14" s="22" t="n">
        <f aca="false">IF(J12="",0,INDEX(Inputs!$B$6:$B$13,MATCH(J12,Inputs!$A$6:$A$13,0)))</f>
        <v>3.95</v>
      </c>
      <c r="K14" s="22" t="n">
        <f aca="false">IF(K12="",0,INDEX(Inputs!$B$6:$B$13,MATCH(K12,Inputs!$A$6:$A$13,0)))</f>
        <v>0</v>
      </c>
    </row>
    <row r="15" customFormat="false" ht="15" hidden="false" customHeight="false" outlineLevel="0" collapsed="false">
      <c r="A15" s="15" t="s">
        <v>91</v>
      </c>
      <c r="B15" s="23" t="n">
        <f aca="false">B13*B14</f>
        <v>0.9875</v>
      </c>
      <c r="C15" s="23" t="n">
        <f aca="false">C13*C14</f>
        <v>0.9875</v>
      </c>
      <c r="D15" s="23" t="n">
        <f aca="false">D13*D14</f>
        <v>0.9875</v>
      </c>
      <c r="E15" s="23" t="n">
        <f aca="false">E13*E14</f>
        <v>0.9875</v>
      </c>
      <c r="F15" s="23" t="n">
        <f aca="false">F13*F14</f>
        <v>0.9875</v>
      </c>
      <c r="G15" s="23" t="n">
        <f aca="false">G13*G14</f>
        <v>0.9875</v>
      </c>
      <c r="H15" s="23" t="n">
        <f aca="false">H13*H14</f>
        <v>0.9875</v>
      </c>
      <c r="I15" s="23" t="n">
        <f aca="false">I13*I14</f>
        <v>0.9875</v>
      </c>
      <c r="J15" s="23" t="n">
        <f aca="false">J13*J14</f>
        <v>0.9875</v>
      </c>
      <c r="K15" s="23" t="n">
        <f aca="false">K13*K14</f>
        <v>0</v>
      </c>
    </row>
    <row r="16" customFormat="false" ht="15" hidden="false" customHeight="false" outlineLevel="0" collapsed="false">
      <c r="A16" s="18" t="s">
        <v>92</v>
      </c>
      <c r="B16" s="19"/>
      <c r="C16" s="19"/>
      <c r="D16" s="19"/>
      <c r="E16" s="19"/>
      <c r="F16" s="19"/>
      <c r="G16" s="19"/>
      <c r="H16" s="19"/>
      <c r="I16" s="19"/>
      <c r="J16" s="19"/>
      <c r="K16" s="19"/>
    </row>
    <row r="17" customFormat="false" ht="15" hidden="false" customHeight="false" outlineLevel="0" collapsed="false">
      <c r="A17" s="10" t="s">
        <v>93</v>
      </c>
      <c r="B17" s="21" t="n">
        <f aca="false">INDEX(Inputs!$G$22:$G$37,MATCH(B$4,Inputs!$A$22:$A$37,0))</f>
        <v>0</v>
      </c>
      <c r="C17" s="21" t="n">
        <f aca="false">INDEX(Inputs!$G$22:$G$37,MATCH(C$4,Inputs!$A$22:$A$37,0))</f>
        <v>0</v>
      </c>
      <c r="D17" s="21" t="n">
        <f aca="false">INDEX(Inputs!$G$22:$G$37,MATCH(D$4,Inputs!$A$22:$A$37,0))</f>
        <v>0</v>
      </c>
      <c r="E17" s="21" t="n">
        <f aca="false">INDEX(Inputs!$G$22:$G$37,MATCH(E$4,Inputs!$A$22:$A$37,0))</f>
        <v>0</v>
      </c>
      <c r="F17" s="21" t="n">
        <f aca="false">INDEX(Inputs!$G$22:$G$37,MATCH(F$4,Inputs!$A$22:$A$37,0))</f>
        <v>0</v>
      </c>
      <c r="G17" s="21" t="n">
        <f aca="false">INDEX(Inputs!$G$22:$G$37,MATCH(G$4,Inputs!$A$22:$A$37,0))</f>
        <v>0</v>
      </c>
      <c r="H17" s="21" t="n">
        <f aca="false">INDEX(Inputs!$G$22:$G$37,MATCH(H$4,Inputs!$A$22:$A$37,0))</f>
        <v>0</v>
      </c>
      <c r="I17" s="21" t="n">
        <f aca="false">INDEX(Inputs!$G$22:$G$37,MATCH(I$4,Inputs!$A$22:$A$37,0))</f>
        <v>0</v>
      </c>
      <c r="J17" s="21" t="n">
        <f aca="false">INDEX(Inputs!$G$22:$G$37,MATCH(J$4,Inputs!$A$22:$A$37,0))</f>
        <v>0</v>
      </c>
      <c r="K17" s="21" t="n">
        <f aca="false">INDEX(Inputs!$G$22:$G$37,MATCH(K$4,Inputs!$A$22:$A$37,0))</f>
        <v>0</v>
      </c>
    </row>
    <row r="18" customFormat="false" ht="15" hidden="false" customHeight="false" outlineLevel="0" collapsed="false">
      <c r="A18" s="10" t="s">
        <v>94</v>
      </c>
      <c r="B18" s="22" t="n">
        <f aca="false">Inputs!$B$17</f>
        <v>0.55</v>
      </c>
      <c r="C18" s="22" t="n">
        <f aca="false">Inputs!$B$17</f>
        <v>0.55</v>
      </c>
      <c r="D18" s="22" t="n">
        <f aca="false">Inputs!$B$17</f>
        <v>0.55</v>
      </c>
      <c r="E18" s="22" t="n">
        <f aca="false">Inputs!$B$17</f>
        <v>0.55</v>
      </c>
      <c r="F18" s="22" t="n">
        <f aca="false">Inputs!$B$17</f>
        <v>0.55</v>
      </c>
      <c r="G18" s="22" t="n">
        <f aca="false">Inputs!$B$17</f>
        <v>0.55</v>
      </c>
      <c r="H18" s="22" t="n">
        <f aca="false">Inputs!$B$17</f>
        <v>0.55</v>
      </c>
      <c r="I18" s="22" t="n">
        <f aca="false">Inputs!$B$17</f>
        <v>0.55</v>
      </c>
      <c r="J18" s="22" t="n">
        <f aca="false">Inputs!$B$17</f>
        <v>0.55</v>
      </c>
      <c r="K18" s="22" t="n">
        <f aca="false">Inputs!$B$17</f>
        <v>0.55</v>
      </c>
    </row>
    <row r="19" customFormat="false" ht="15" hidden="false" customHeight="false" outlineLevel="0" collapsed="false">
      <c r="A19" s="15" t="s">
        <v>95</v>
      </c>
      <c r="B19" s="23" t="n">
        <f aca="false">B17*B18</f>
        <v>0</v>
      </c>
      <c r="C19" s="23" t="n">
        <f aca="false">C17*C18</f>
        <v>0</v>
      </c>
      <c r="D19" s="23" t="n">
        <f aca="false">D17*D18</f>
        <v>0</v>
      </c>
      <c r="E19" s="23" t="n">
        <f aca="false">E17*E18</f>
        <v>0</v>
      </c>
      <c r="F19" s="23" t="n">
        <f aca="false">F17*F18</f>
        <v>0</v>
      </c>
      <c r="G19" s="23" t="n">
        <f aca="false">G17*G18</f>
        <v>0</v>
      </c>
      <c r="H19" s="23" t="n">
        <f aca="false">H17*H18</f>
        <v>0</v>
      </c>
      <c r="I19" s="23" t="n">
        <f aca="false">I17*I18</f>
        <v>0</v>
      </c>
      <c r="J19" s="23" t="n">
        <f aca="false">J17*J18</f>
        <v>0</v>
      </c>
      <c r="K19" s="23" t="n">
        <f aca="false">K17*K18</f>
        <v>0</v>
      </c>
    </row>
    <row r="20" customFormat="false" ht="15" hidden="false" customHeight="false" outlineLevel="0" collapsed="false">
      <c r="A20" s="10" t="s">
        <v>96</v>
      </c>
      <c r="B20" s="21" t="n">
        <f aca="false">INDEX(Inputs!$H$22:$H$37,MATCH(B$4,Inputs!$A$22:$A$37,0))</f>
        <v>0</v>
      </c>
      <c r="C20" s="21" t="n">
        <f aca="false">INDEX(Inputs!$H$22:$H$37,MATCH(C$4,Inputs!$A$22:$A$37,0))</f>
        <v>0</v>
      </c>
      <c r="D20" s="21" t="n">
        <f aca="false">INDEX(Inputs!$H$22:$H$37,MATCH(D$4,Inputs!$A$22:$A$37,0))</f>
        <v>0</v>
      </c>
      <c r="E20" s="21" t="n">
        <f aca="false">INDEX(Inputs!$H$22:$H$37,MATCH(E$4,Inputs!$A$22:$A$37,0))</f>
        <v>0</v>
      </c>
      <c r="F20" s="21" t="n">
        <f aca="false">INDEX(Inputs!$H$22:$H$37,MATCH(F$4,Inputs!$A$22:$A$37,0))</f>
        <v>0</v>
      </c>
      <c r="G20" s="21" t="n">
        <f aca="false">INDEX(Inputs!$H$22:$H$37,MATCH(G$4,Inputs!$A$22:$A$37,0))</f>
        <v>0</v>
      </c>
      <c r="H20" s="21" t="n">
        <f aca="false">INDEX(Inputs!$H$22:$H$37,MATCH(H$4,Inputs!$A$22:$A$37,0))</f>
        <v>0</v>
      </c>
      <c r="I20" s="21" t="n">
        <f aca="false">INDEX(Inputs!$H$22:$H$37,MATCH(I$4,Inputs!$A$22:$A$37,0))</f>
        <v>0</v>
      </c>
      <c r="J20" s="21" t="n">
        <f aca="false">INDEX(Inputs!$H$22:$H$37,MATCH(J$4,Inputs!$A$22:$A$37,0))</f>
        <v>0</v>
      </c>
      <c r="K20" s="21" t="n">
        <f aca="false">INDEX(Inputs!$H$22:$H$37,MATCH(K$4,Inputs!$A$22:$A$37,0))</f>
        <v>0</v>
      </c>
    </row>
    <row r="21" customFormat="false" ht="15" hidden="false" customHeight="false" outlineLevel="0" collapsed="false">
      <c r="A21" s="10" t="s">
        <v>97</v>
      </c>
      <c r="B21" s="22" t="n">
        <f aca="false">Inputs!$B$18</f>
        <v>1</v>
      </c>
      <c r="C21" s="22" t="n">
        <f aca="false">Inputs!$B$18</f>
        <v>1</v>
      </c>
      <c r="D21" s="22" t="n">
        <f aca="false">Inputs!$B$18</f>
        <v>1</v>
      </c>
      <c r="E21" s="22" t="n">
        <f aca="false">Inputs!$B$18</f>
        <v>1</v>
      </c>
      <c r="F21" s="22" t="n">
        <f aca="false">Inputs!$B$18</f>
        <v>1</v>
      </c>
      <c r="G21" s="22" t="n">
        <f aca="false">Inputs!$B$18</f>
        <v>1</v>
      </c>
      <c r="H21" s="22" t="n">
        <f aca="false">Inputs!$B$18</f>
        <v>1</v>
      </c>
      <c r="I21" s="22" t="n">
        <f aca="false">Inputs!$B$18</f>
        <v>1</v>
      </c>
      <c r="J21" s="22" t="n">
        <f aca="false">Inputs!$B$18</f>
        <v>1</v>
      </c>
      <c r="K21" s="22" t="n">
        <f aca="false">Inputs!$B$18</f>
        <v>1</v>
      </c>
    </row>
    <row r="22" customFormat="false" ht="15" hidden="false" customHeight="false" outlineLevel="0" collapsed="false">
      <c r="A22" s="15" t="s">
        <v>98</v>
      </c>
      <c r="B22" s="23" t="n">
        <f aca="false">B20*B21</f>
        <v>0</v>
      </c>
      <c r="C22" s="23" t="n">
        <f aca="false">C20*C21</f>
        <v>0</v>
      </c>
      <c r="D22" s="23" t="n">
        <f aca="false">D20*D21</f>
        <v>0</v>
      </c>
      <c r="E22" s="23" t="n">
        <f aca="false">E20*E21</f>
        <v>0</v>
      </c>
      <c r="F22" s="23" t="n">
        <f aca="false">F20*F21</f>
        <v>0</v>
      </c>
      <c r="G22" s="23" t="n">
        <f aca="false">G20*G21</f>
        <v>0</v>
      </c>
      <c r="H22" s="23" t="n">
        <f aca="false">H20*H21</f>
        <v>0</v>
      </c>
      <c r="I22" s="23" t="n">
        <f aca="false">I20*I21</f>
        <v>0</v>
      </c>
      <c r="J22" s="23" t="n">
        <f aca="false">J20*J21</f>
        <v>0</v>
      </c>
      <c r="K22" s="23" t="n">
        <f aca="false">K20*K21</f>
        <v>0</v>
      </c>
    </row>
    <row r="23" customFormat="false" ht="15" hidden="false" customHeight="false" outlineLevel="0" collapsed="false">
      <c r="A23" s="18" t="s">
        <v>99</v>
      </c>
      <c r="B23" s="19"/>
      <c r="C23" s="19"/>
      <c r="D23" s="19"/>
      <c r="E23" s="19"/>
      <c r="F23" s="19"/>
      <c r="G23" s="19"/>
      <c r="H23" s="19"/>
      <c r="I23" s="19"/>
      <c r="J23" s="19"/>
      <c r="K23" s="19"/>
    </row>
    <row r="24" customFormat="false" ht="15" hidden="false" customHeight="false" outlineLevel="0" collapsed="false">
      <c r="A24" s="10" t="s">
        <v>100</v>
      </c>
      <c r="B24" s="22" t="n">
        <f aca="false">IF(B5="",0,INDEX(Inputs!$B$43:$E$48,MATCH(B5,Inputs!$A$43:$A$48,0),MATCH(INDEX(Inputs!$B$22:$B$37,MATCH(B$4,Inputs!$A$22:$A$37,0)),Inputs!$B$42:$E$42,0)))</f>
        <v>12</v>
      </c>
      <c r="C24" s="22" t="n">
        <f aca="false">IF(C5="",0,INDEX(Inputs!$B$43:$E$48,MATCH(C5,Inputs!$A$43:$A$48,0),MATCH(INDEX(Inputs!$B$22:$B$37,MATCH(C$4,Inputs!$A$22:$A$37,0)),Inputs!$B$42:$E$42,0)))</f>
        <v>6</v>
      </c>
      <c r="D24" s="22" t="n">
        <f aca="false">IF(D5="",0,INDEX(Inputs!$B$43:$E$48,MATCH(D5,Inputs!$A$43:$A$48,0),MATCH(INDEX(Inputs!$B$22:$B$37,MATCH(D$4,Inputs!$A$22:$A$37,0)),Inputs!$B$42:$E$42,0)))</f>
        <v>2.75</v>
      </c>
      <c r="E24" s="22" t="n">
        <f aca="false">IF(E5="",0,INDEX(Inputs!$B$43:$E$48,MATCH(E5,Inputs!$A$43:$A$48,0),MATCH(INDEX(Inputs!$B$22:$B$37,MATCH(E$4,Inputs!$A$22:$A$37,0)),Inputs!$B$42:$E$42,0)))</f>
        <v>12</v>
      </c>
      <c r="F24" s="22" t="n">
        <f aca="false">IF(F5="",0,INDEX(Inputs!$B$43:$E$48,MATCH(F5,Inputs!$A$43:$A$48,0),MATCH(INDEX(Inputs!$B$22:$B$37,MATCH(F$4,Inputs!$A$22:$A$37,0)),Inputs!$B$42:$E$42,0)))</f>
        <v>6</v>
      </c>
      <c r="G24" s="22" t="n">
        <f aca="false">IF(G5="",0,INDEX(Inputs!$B$43:$E$48,MATCH(G5,Inputs!$A$43:$A$48,0),MATCH(INDEX(Inputs!$B$22:$B$37,MATCH(G$4,Inputs!$A$22:$A$37,0)),Inputs!$B$42:$E$42,0)))</f>
        <v>2.75</v>
      </c>
      <c r="H24" s="22" t="n">
        <f aca="false">IF(H5="",0,INDEX(Inputs!$B$43:$E$48,MATCH(H5,Inputs!$A$43:$A$48,0),MATCH(INDEX(Inputs!$B$22:$B$37,MATCH(H$4,Inputs!$A$22:$A$37,0)),Inputs!$B$42:$E$42,0)))</f>
        <v>12</v>
      </c>
      <c r="I24" s="22" t="n">
        <f aca="false">IF(I5="",0,INDEX(Inputs!$B$43:$E$48,MATCH(I5,Inputs!$A$43:$A$48,0),MATCH(INDEX(Inputs!$B$22:$B$37,MATCH(I$4,Inputs!$A$22:$A$37,0)),Inputs!$B$42:$E$42,0)))</f>
        <v>6</v>
      </c>
      <c r="J24" s="22" t="n">
        <f aca="false">IF(J5="",0,INDEX(Inputs!$B$43:$E$48,MATCH(J5,Inputs!$A$43:$A$48,0),MATCH(INDEX(Inputs!$B$22:$B$37,MATCH(J$4,Inputs!$A$22:$A$37,0)),Inputs!$B$42:$E$42,0)))</f>
        <v>2.75</v>
      </c>
      <c r="K24" s="22" t="n">
        <f aca="false">IF(K5="",0,INDEX(Inputs!$B$43:$E$48,MATCH(K5,Inputs!$A$43:$A$48,0),MATCH(INDEX(Inputs!$B$22:$B$37,MATCH(K$4,Inputs!$A$22:$A$37,0)),Inputs!$B$42:$E$42,0)))</f>
        <v>0</v>
      </c>
    </row>
    <row r="25" customFormat="false" ht="15" hidden="false" customHeight="false" outlineLevel="0" collapsed="false">
      <c r="A25" s="10" t="s">
        <v>101</v>
      </c>
      <c r="B25" s="22" t="n">
        <f aca="false">INDEX(Inputs!$K$22:$K$37,MATCH(B$4,Inputs!$A$22:$A$37,0))</f>
        <v>0</v>
      </c>
      <c r="C25" s="22" t="n">
        <f aca="false">INDEX(Inputs!$K$22:$K$37,MATCH(C$4,Inputs!$A$22:$A$37,0))</f>
        <v>0</v>
      </c>
      <c r="D25" s="22" t="n">
        <f aca="false">INDEX(Inputs!$K$22:$K$37,MATCH(D$4,Inputs!$A$22:$A$37,0))</f>
        <v>0</v>
      </c>
      <c r="E25" s="22" t="n">
        <f aca="false">INDEX(Inputs!$K$22:$K$37,MATCH(E$4,Inputs!$A$22:$A$37,0))</f>
        <v>0</v>
      </c>
      <c r="F25" s="22" t="n">
        <f aca="false">INDEX(Inputs!$K$22:$K$37,MATCH(F$4,Inputs!$A$22:$A$37,0))</f>
        <v>0</v>
      </c>
      <c r="G25" s="22" t="n">
        <f aca="false">INDEX(Inputs!$K$22:$K$37,MATCH(G$4,Inputs!$A$22:$A$37,0))</f>
        <v>0</v>
      </c>
      <c r="H25" s="22" t="n">
        <f aca="false">INDEX(Inputs!$K$22:$K$37,MATCH(H$4,Inputs!$A$22:$A$37,0))</f>
        <v>0</v>
      </c>
      <c r="I25" s="22" t="n">
        <f aca="false">INDEX(Inputs!$K$22:$K$37,MATCH(I$4,Inputs!$A$22:$A$37,0))</f>
        <v>0</v>
      </c>
      <c r="J25" s="22" t="n">
        <f aca="false">INDEX(Inputs!$K$22:$K$37,MATCH(J$4,Inputs!$A$22:$A$37,0))</f>
        <v>0</v>
      </c>
      <c r="K25" s="22" t="n">
        <f aca="false">INDEX(Inputs!$K$22:$K$37,MATCH(K$4,Inputs!$A$22:$A$37,0))</f>
        <v>0</v>
      </c>
    </row>
    <row r="26" customFormat="false" ht="15" hidden="false" customHeight="false" outlineLevel="0" collapsed="false">
      <c r="A26" s="10" t="s">
        <v>102</v>
      </c>
      <c r="B26" s="22" t="n">
        <f aca="false">INDEX(Inputs!$J$22:$J$37,MATCH(B$4,Inputs!$A$22:$A$37,0))</f>
        <v>0.63</v>
      </c>
      <c r="C26" s="22" t="n">
        <f aca="false">INDEX(Inputs!$J$22:$J$37,MATCH(C$4,Inputs!$A$22:$A$37,0))</f>
        <v>0.63</v>
      </c>
      <c r="D26" s="22" t="n">
        <f aca="false">INDEX(Inputs!$J$22:$J$37,MATCH(D$4,Inputs!$A$22:$A$37,0))</f>
        <v>0.63</v>
      </c>
      <c r="E26" s="22" t="n">
        <f aca="false">INDEX(Inputs!$J$22:$J$37,MATCH(E$4,Inputs!$A$22:$A$37,0))</f>
        <v>1</v>
      </c>
      <c r="F26" s="22" t="n">
        <f aca="false">INDEX(Inputs!$J$22:$J$37,MATCH(F$4,Inputs!$A$22:$A$37,0))</f>
        <v>1</v>
      </c>
      <c r="G26" s="22" t="n">
        <f aca="false">INDEX(Inputs!$J$22:$J$37,MATCH(G$4,Inputs!$A$22:$A$37,0))</f>
        <v>1</v>
      </c>
      <c r="H26" s="22" t="n">
        <f aca="false">INDEX(Inputs!$J$22:$J$37,MATCH(H$4,Inputs!$A$22:$A$37,0))</f>
        <v>1</v>
      </c>
      <c r="I26" s="22" t="n">
        <f aca="false">INDEX(Inputs!$J$22:$J$37,MATCH(I$4,Inputs!$A$22:$A$37,0))</f>
        <v>1</v>
      </c>
      <c r="J26" s="22" t="n">
        <f aca="false">INDEX(Inputs!$J$22:$J$37,MATCH(J$4,Inputs!$A$22:$A$37,0))</f>
        <v>1</v>
      </c>
      <c r="K26" s="22" t="n">
        <f aca="false">INDEX(Inputs!$J$22:$J$37,MATCH(K$4,Inputs!$A$22:$A$37,0))</f>
        <v>0.95</v>
      </c>
    </row>
    <row r="27" customFormat="false" ht="15" hidden="false" customHeight="false" outlineLevel="0" collapsed="false">
      <c r="A27" s="10" t="s">
        <v>103</v>
      </c>
      <c r="B27" s="22" t="n">
        <f aca="false">INDEX(Inputs!$I$22:$I$37,MATCH(B$4,Inputs!$A$22:$A$37,0))</f>
        <v>10</v>
      </c>
      <c r="C27" s="22" t="n">
        <f aca="false">INDEX(Inputs!$I$22:$I$37,MATCH(C$4,Inputs!$A$22:$A$37,0))</f>
        <v>10</v>
      </c>
      <c r="D27" s="22" t="n">
        <f aca="false">INDEX(Inputs!$I$22:$I$37,MATCH(D$4,Inputs!$A$22:$A$37,0))</f>
        <v>10</v>
      </c>
      <c r="E27" s="22" t="n">
        <f aca="false">INDEX(Inputs!$I$22:$I$37,MATCH(E$4,Inputs!$A$22:$A$37,0))</f>
        <v>12</v>
      </c>
      <c r="F27" s="22" t="n">
        <f aca="false">INDEX(Inputs!$I$22:$I$37,MATCH(F$4,Inputs!$A$22:$A$37,0))</f>
        <v>12</v>
      </c>
      <c r="G27" s="22" t="n">
        <f aca="false">INDEX(Inputs!$I$22:$I$37,MATCH(G$4,Inputs!$A$22:$A$37,0))</f>
        <v>12</v>
      </c>
      <c r="H27" s="22" t="n">
        <f aca="false">INDEX(Inputs!$I$22:$I$37,MATCH(H$4,Inputs!$A$22:$A$37,0))</f>
        <v>12</v>
      </c>
      <c r="I27" s="22" t="n">
        <f aca="false">INDEX(Inputs!$I$22:$I$37,MATCH(I$4,Inputs!$A$22:$A$37,0))</f>
        <v>12</v>
      </c>
      <c r="J27" s="22" t="n">
        <f aca="false">INDEX(Inputs!$I$22:$I$37,MATCH(J$4,Inputs!$A$22:$A$37,0))</f>
        <v>12</v>
      </c>
      <c r="K27" s="22" t="n">
        <f aca="false">INDEX(Inputs!$I$22:$I$37,MATCH(K$4,Inputs!$A$22:$A$37,0))</f>
        <v>8</v>
      </c>
    </row>
    <row r="28" customFormat="false" ht="15" hidden="false" customHeight="false" outlineLevel="0" collapsed="false">
      <c r="A28" s="10" t="s">
        <v>104</v>
      </c>
      <c r="B28" s="22" t="n">
        <f aca="false">INDEX(Inputs!$M$22:$M$37,MATCH(B$4,Inputs!$A$22:$A$37,0))</f>
        <v>0</v>
      </c>
      <c r="C28" s="22" t="n">
        <f aca="false">INDEX(Inputs!$M$22:$M$37,MATCH(C$4,Inputs!$A$22:$A$37,0))</f>
        <v>0</v>
      </c>
      <c r="D28" s="22" t="n">
        <f aca="false">INDEX(Inputs!$M$22:$M$37,MATCH(D$4,Inputs!$A$22:$A$37,0))</f>
        <v>0</v>
      </c>
      <c r="E28" s="22" t="n">
        <f aca="false">INDEX(Inputs!$M$22:$M$37,MATCH(E$4,Inputs!$A$22:$A$37,0))</f>
        <v>0</v>
      </c>
      <c r="F28" s="22" t="n">
        <f aca="false">INDEX(Inputs!$M$22:$M$37,MATCH(F$4,Inputs!$A$22:$A$37,0))</f>
        <v>0</v>
      </c>
      <c r="G28" s="22" t="n">
        <f aca="false">INDEX(Inputs!$M$22:$M$37,MATCH(G$4,Inputs!$A$22:$A$37,0))</f>
        <v>0</v>
      </c>
      <c r="H28" s="22" t="n">
        <f aca="false">INDEX(Inputs!$M$22:$M$37,MATCH(H$4,Inputs!$A$22:$A$37,0))</f>
        <v>0</v>
      </c>
      <c r="I28" s="22" t="n">
        <f aca="false">INDEX(Inputs!$M$22:$M$37,MATCH(I$4,Inputs!$A$22:$A$37,0))</f>
        <v>0</v>
      </c>
      <c r="J28" s="22" t="n">
        <f aca="false">INDEX(Inputs!$M$22:$M$37,MATCH(J$4,Inputs!$A$22:$A$37,0))</f>
        <v>0</v>
      </c>
      <c r="K28" s="22" t="n">
        <f aca="false">INDEX(Inputs!$M$22:$M$37,MATCH(K$4,Inputs!$A$22:$A$37,0))</f>
        <v>0</v>
      </c>
    </row>
    <row r="29" customFormat="false" ht="15" hidden="false" customHeight="false" outlineLevel="0" collapsed="false">
      <c r="A29" s="10" t="s">
        <v>105</v>
      </c>
      <c r="B29" s="22" t="n">
        <f aca="false">INDEX(Inputs!$L$22:$L$37,MATCH(B$4,Inputs!$A$22:$A$37,0))</f>
        <v>3.5</v>
      </c>
      <c r="C29" s="22" t="n">
        <f aca="false">INDEX(Inputs!$L$22:$L$37,MATCH(C$4,Inputs!$A$22:$A$37,0))</f>
        <v>3.5</v>
      </c>
      <c r="D29" s="22" t="n">
        <f aca="false">INDEX(Inputs!$L$22:$L$37,MATCH(D$4,Inputs!$A$22:$A$37,0))</f>
        <v>3.5</v>
      </c>
      <c r="E29" s="22" t="n">
        <f aca="false">INDEX(Inputs!$L$22:$L$37,MATCH(E$4,Inputs!$A$22:$A$37,0))</f>
        <v>3.5</v>
      </c>
      <c r="F29" s="22" t="n">
        <f aca="false">INDEX(Inputs!$L$22:$L$37,MATCH(F$4,Inputs!$A$22:$A$37,0))</f>
        <v>3.5</v>
      </c>
      <c r="G29" s="22" t="n">
        <f aca="false">INDEX(Inputs!$L$22:$L$37,MATCH(G$4,Inputs!$A$22:$A$37,0))</f>
        <v>3.5</v>
      </c>
      <c r="H29" s="22" t="n">
        <f aca="false">INDEX(Inputs!$L$22:$L$37,MATCH(H$4,Inputs!$A$22:$A$37,0))</f>
        <v>3.5</v>
      </c>
      <c r="I29" s="22" t="n">
        <f aca="false">INDEX(Inputs!$L$22:$L$37,MATCH(I$4,Inputs!$A$22:$A$37,0))</f>
        <v>3.5</v>
      </c>
      <c r="J29" s="22" t="n">
        <f aca="false">INDEX(Inputs!$L$22:$L$37,MATCH(J$4,Inputs!$A$22:$A$37,0))</f>
        <v>3.5</v>
      </c>
      <c r="K29" s="22" t="n">
        <f aca="false">INDEX(Inputs!$L$22:$L$37,MATCH(K$4,Inputs!$A$22:$A$37,0))</f>
        <v>3.5</v>
      </c>
    </row>
    <row r="31" customFormat="false" ht="21.75" hidden="false" customHeight="true" outlineLevel="0" collapsed="false">
      <c r="A31" s="24" t="s">
        <v>106</v>
      </c>
      <c r="B31" s="25" t="n">
        <f aca="false">B10+B15+B19+B22+B24+B25+B26+B27+B28+B29</f>
        <v>31.3835</v>
      </c>
      <c r="C31" s="25" t="n">
        <f aca="false">C10+C15+C19+C22+C24+C25+C26+C27+C28+C29</f>
        <v>25.3835</v>
      </c>
      <c r="D31" s="25" t="n">
        <f aca="false">D10+D15+D19+D22+D24+D25+D26+D27+D28+D29</f>
        <v>22.1335</v>
      </c>
      <c r="E31" s="25" t="n">
        <f aca="false">E10+E15+E19+E22+E24+E25+E26+E27+E28+E29</f>
        <v>35.8075</v>
      </c>
      <c r="F31" s="25" t="n">
        <f aca="false">F10+F15+F19+F22+F24+F25+F26+F27+F28+F29</f>
        <v>29.8075</v>
      </c>
      <c r="G31" s="25" t="n">
        <f aca="false">G10+G15+G19+G22+G24+G25+G26+G27+G28+G29</f>
        <v>26.5575</v>
      </c>
      <c r="H31" s="25" t="n">
        <f aca="false">H10+H15+H19+H22+H24+H25+H26+H27+H28+H29</f>
        <v>37.4075</v>
      </c>
      <c r="I31" s="25" t="n">
        <f aca="false">I10+I15+I19+I22+I24+I25+I26+I27+I28+I29</f>
        <v>31.4075</v>
      </c>
      <c r="J31" s="25" t="n">
        <f aca="false">J10+J15+J19+J22+J24+J25+J26+J27+J28+J29</f>
        <v>28.1575</v>
      </c>
      <c r="K31" s="25" t="n">
        <f aca="false">K10+K15+K19+K22+K24+K25+K26+K27+K28+K29</f>
        <v>17.6625</v>
      </c>
    </row>
    <row r="32" customFormat="false" ht="30" hidden="false" customHeight="true" outlineLevel="0" collapsed="false">
      <c r="A32" s="10" t="s">
        <v>107</v>
      </c>
      <c r="B32" s="26" t="str">
        <f aca="false">IF(B7="","NO FABRIC SET — total excludes fabric",IF(B8=0,"MISSING YIELD — fabric not in total",IF(B9=0,"MISSING FABRIC PRICE — fabric not in total",IF(AND(B12&lt;&gt;"",B13=0),"MISSING RIB YIELD — rib not in total","Complete"))))</f>
        <v>Complete</v>
      </c>
      <c r="C32" s="26" t="str">
        <f aca="false">IF(C7="","NO FABRIC SET — total excludes fabric",IF(C8=0,"MISSING YIELD — fabric not in total",IF(C9=0,"MISSING FABRIC PRICE — fabric not in total",IF(AND(C12&lt;&gt;"",C13=0),"MISSING RIB YIELD — rib not in total","Complete"))))</f>
        <v>Complete</v>
      </c>
      <c r="D32" s="26" t="str">
        <f aca="false">IF(D7="","NO FABRIC SET — total excludes fabric",IF(D8=0,"MISSING YIELD — fabric not in total",IF(D9=0,"MISSING FABRIC PRICE — fabric not in total",IF(AND(D12&lt;&gt;"",D13=0),"MISSING RIB YIELD — rib not in total","Complete"))))</f>
        <v>Complete</v>
      </c>
      <c r="E32" s="26" t="str">
        <f aca="false">IF(E7="","NO FABRIC SET — total excludes fabric",IF(E8=0,"MISSING YIELD — fabric not in total",IF(E9=0,"MISSING FABRIC PRICE — fabric not in total",IF(AND(E12&lt;&gt;"",E13=0),"MISSING RIB YIELD — rib not in total","Complete"))))</f>
        <v>Complete</v>
      </c>
      <c r="F32" s="26" t="str">
        <f aca="false">IF(F7="","NO FABRIC SET — total excludes fabric",IF(F8=0,"MISSING YIELD — fabric not in total",IF(F9=0,"MISSING FABRIC PRICE — fabric not in total",IF(AND(F12&lt;&gt;"",F13=0),"MISSING RIB YIELD — rib not in total","Complete"))))</f>
        <v>Complete</v>
      </c>
      <c r="G32" s="26" t="str">
        <f aca="false">IF(G7="","NO FABRIC SET — total excludes fabric",IF(G8=0,"MISSING YIELD — fabric not in total",IF(G9=0,"MISSING FABRIC PRICE — fabric not in total",IF(AND(G12&lt;&gt;"",G13=0),"MISSING RIB YIELD — rib not in total","Complete"))))</f>
        <v>Complete</v>
      </c>
      <c r="H32" s="26" t="str">
        <f aca="false">IF(H7="","NO FABRIC SET — total excludes fabric",IF(H8=0,"MISSING YIELD — fabric not in total",IF(H9=0,"MISSING FABRIC PRICE — fabric not in total",IF(AND(H12&lt;&gt;"",H13=0),"MISSING RIB YIELD — rib not in total","Complete"))))</f>
        <v>Complete</v>
      </c>
      <c r="I32" s="26" t="str">
        <f aca="false">IF(I7="","NO FABRIC SET — total excludes fabric",IF(I8=0,"MISSING YIELD — fabric not in total",IF(I9=0,"MISSING FABRIC PRICE — fabric not in total",IF(AND(I12&lt;&gt;"",I13=0),"MISSING RIB YIELD — rib not in total","Complete"))))</f>
        <v>Complete</v>
      </c>
      <c r="J32" s="26" t="str">
        <f aca="false">IF(J7="","NO FABRIC SET — total excludes fabric",IF(J8=0,"MISSING YIELD — fabric not in total",IF(J9=0,"MISSING FABRIC PRICE — fabric not in total",IF(AND(J12&lt;&gt;"",J13=0),"MISSING RIB YIELD — rib not in total","Complete"))))</f>
        <v>Complete</v>
      </c>
      <c r="K32" s="26" t="str">
        <f aca="false">IF(K7="","NO FABRIC SET — total excludes fabric",IF(K8=0,"MISSING YIELD — fabric not in total",IF(K9=0,"MISSING FABRIC PRICE — fabric not in total",IF(AND(K12&lt;&gt;"",K13=0),"MISSING RIB YIELD — rib not in total","Complete"))))</f>
        <v>Complete</v>
      </c>
    </row>
    <row r="33" customFormat="false" ht="15" hidden="false" customHeight="false" outlineLevel="0" collapsed="false">
      <c r="A33" s="18" t="s">
        <v>67</v>
      </c>
      <c r="B33" s="19"/>
      <c r="C33" s="19"/>
      <c r="D33" s="19"/>
      <c r="E33" s="19"/>
      <c r="F33" s="19"/>
      <c r="G33" s="19"/>
      <c r="H33" s="19"/>
      <c r="I33" s="19"/>
      <c r="J33" s="19"/>
      <c r="K33" s="19"/>
    </row>
    <row r="34" customFormat="false" ht="15" hidden="false" customHeight="false" outlineLevel="0" collapsed="false">
      <c r="A34" s="10" t="s">
        <v>70</v>
      </c>
      <c r="B34" s="27" t="n">
        <f aca="false">Inputs!$B$52</f>
        <v>0.2</v>
      </c>
      <c r="C34" s="27" t="n">
        <f aca="false">Inputs!$B$52</f>
        <v>0.2</v>
      </c>
      <c r="D34" s="27" t="n">
        <f aca="false">Inputs!$B$52</f>
        <v>0.2</v>
      </c>
      <c r="E34" s="27" t="n">
        <f aca="false">Inputs!$B$52</f>
        <v>0.2</v>
      </c>
      <c r="F34" s="27" t="n">
        <f aca="false">Inputs!$B$52</f>
        <v>0.2</v>
      </c>
      <c r="G34" s="27" t="n">
        <f aca="false">Inputs!$B$52</f>
        <v>0.2</v>
      </c>
      <c r="H34" s="27" t="n">
        <f aca="false">Inputs!$B$52</f>
        <v>0.2</v>
      </c>
      <c r="I34" s="27" t="n">
        <f aca="false">Inputs!$B$52</f>
        <v>0.2</v>
      </c>
      <c r="J34" s="27" t="n">
        <f aca="false">Inputs!$B$52</f>
        <v>0.2</v>
      </c>
      <c r="K34" s="27" t="n">
        <f aca="false">Inputs!$B$52</f>
        <v>0.2</v>
      </c>
    </row>
    <row r="35" customFormat="false" ht="15" hidden="false" customHeight="false" outlineLevel="0" collapsed="false">
      <c r="A35" s="10" t="s">
        <v>108</v>
      </c>
      <c r="B35" s="28" t="n">
        <f aca="false">B31*B34</f>
        <v>6.2767</v>
      </c>
      <c r="C35" s="28" t="n">
        <f aca="false">C31*C34</f>
        <v>5.0767</v>
      </c>
      <c r="D35" s="28" t="n">
        <f aca="false">D31*D34</f>
        <v>4.4267</v>
      </c>
      <c r="E35" s="28" t="n">
        <f aca="false">E31*E34</f>
        <v>7.1615</v>
      </c>
      <c r="F35" s="28" t="n">
        <f aca="false">F31*F34</f>
        <v>5.9615</v>
      </c>
      <c r="G35" s="28" t="n">
        <f aca="false">G31*G34</f>
        <v>5.3115</v>
      </c>
      <c r="H35" s="28" t="n">
        <f aca="false">H31*H34</f>
        <v>7.4815</v>
      </c>
      <c r="I35" s="28" t="n">
        <f aca="false">I31*I34</f>
        <v>6.2815</v>
      </c>
      <c r="J35" s="28" t="n">
        <f aca="false">J31*J34</f>
        <v>5.6315</v>
      </c>
      <c r="K35" s="28" t="n">
        <f aca="false">K31*K34</f>
        <v>3.5325</v>
      </c>
    </row>
    <row r="36" customFormat="false" ht="21.75" hidden="false" customHeight="true" outlineLevel="0" collapsed="false">
      <c r="A36" s="24" t="s">
        <v>109</v>
      </c>
      <c r="B36" s="25" t="n">
        <f aca="false">B31+B35</f>
        <v>37.6602</v>
      </c>
      <c r="C36" s="25" t="n">
        <f aca="false">C31+C35</f>
        <v>30.4602</v>
      </c>
      <c r="D36" s="25" t="n">
        <f aca="false">D31+D35</f>
        <v>26.5602</v>
      </c>
      <c r="E36" s="25" t="n">
        <f aca="false">E31+E35</f>
        <v>42.969</v>
      </c>
      <c r="F36" s="25" t="n">
        <f aca="false">F31+F35</f>
        <v>35.769</v>
      </c>
      <c r="G36" s="25" t="n">
        <f aca="false">G31+G35</f>
        <v>31.869</v>
      </c>
      <c r="H36" s="25" t="n">
        <f aca="false">H31+H35</f>
        <v>44.889</v>
      </c>
      <c r="I36" s="25" t="n">
        <f aca="false">I31+I35</f>
        <v>37.689</v>
      </c>
      <c r="J36" s="25" t="n">
        <f aca="false">J31+J35</f>
        <v>33.789</v>
      </c>
      <c r="K36" s="25" t="n">
        <f aca="false">K31+K35</f>
        <v>21.195</v>
      </c>
    </row>
    <row r="37" customFormat="false" ht="15" hidden="false" customHeight="false" outlineLevel="0" collapsed="false">
      <c r="A37" s="10" t="s">
        <v>72</v>
      </c>
      <c r="B37" s="29" t="n">
        <f aca="false">Inputs!$B$53</f>
        <v>2.5</v>
      </c>
      <c r="C37" s="29" t="n">
        <f aca="false">Inputs!$B$53</f>
        <v>2.5</v>
      </c>
      <c r="D37" s="29" t="n">
        <f aca="false">Inputs!$B$53</f>
        <v>2.5</v>
      </c>
      <c r="E37" s="29" t="n">
        <f aca="false">Inputs!$B$53</f>
        <v>2.5</v>
      </c>
      <c r="F37" s="29" t="n">
        <f aca="false">Inputs!$B$53</f>
        <v>2.5</v>
      </c>
      <c r="G37" s="29" t="n">
        <f aca="false">Inputs!$B$53</f>
        <v>2.5</v>
      </c>
      <c r="H37" s="29" t="n">
        <f aca="false">Inputs!$B$53</f>
        <v>2.5</v>
      </c>
      <c r="I37" s="29" t="n">
        <f aca="false">Inputs!$B$53</f>
        <v>2.5</v>
      </c>
      <c r="J37" s="29" t="n">
        <f aca="false">Inputs!$B$53</f>
        <v>2.5</v>
      </c>
      <c r="K37" s="29" t="n">
        <f aca="false">Inputs!$B$53</f>
        <v>2.5</v>
      </c>
    </row>
    <row r="38" customFormat="false" ht="21.75" hidden="false" customHeight="true" outlineLevel="0" collapsed="false">
      <c r="A38" s="24" t="s">
        <v>110</v>
      </c>
      <c r="B38" s="25" t="n">
        <f aca="false">B36*B37</f>
        <v>94.1505</v>
      </c>
      <c r="C38" s="25" t="n">
        <f aca="false">C36*C37</f>
        <v>76.1505</v>
      </c>
      <c r="D38" s="25" t="n">
        <f aca="false">D36*D37</f>
        <v>66.4005</v>
      </c>
      <c r="E38" s="25" t="n">
        <f aca="false">E36*E37</f>
        <v>107.4225</v>
      </c>
      <c r="F38" s="25" t="n">
        <f aca="false">F36*F37</f>
        <v>89.4225</v>
      </c>
      <c r="G38" s="25" t="n">
        <f aca="false">G36*G37</f>
        <v>79.6725</v>
      </c>
      <c r="H38" s="25" t="n">
        <f aca="false">H36*H37</f>
        <v>112.2225</v>
      </c>
      <c r="I38" s="25" t="n">
        <f aca="false">I36*I37</f>
        <v>94.2225</v>
      </c>
      <c r="J38" s="25" t="n">
        <f aca="false">J36*J37</f>
        <v>84.4725</v>
      </c>
      <c r="K38" s="25" t="n">
        <f aca="false">K36*K37</f>
        <v>52.9875</v>
      </c>
    </row>
    <row r="40" customFormat="false" ht="15" hidden="false" customHeight="false" outlineLevel="0" collapsed="false">
      <c r="A40" s="18" t="s">
        <v>111</v>
      </c>
      <c r="B40" s="19"/>
      <c r="C40" s="19"/>
      <c r="D40" s="19"/>
      <c r="E40" s="19"/>
      <c r="F40" s="19"/>
      <c r="G40" s="19"/>
      <c r="H40" s="19"/>
      <c r="I40" s="19"/>
      <c r="J40" s="19"/>
      <c r="K40" s="19"/>
    </row>
    <row r="41" customFormat="false" ht="15" hidden="false" customHeight="false" outlineLevel="0" collapsed="false">
      <c r="A41" s="10" t="s">
        <v>112</v>
      </c>
      <c r="B41" s="22" t="n">
        <f aca="false">Inputs!$B$57</f>
        <v>200</v>
      </c>
      <c r="C41" s="22" t="n">
        <f aca="false">Inputs!$B$57</f>
        <v>200</v>
      </c>
      <c r="D41" s="22" t="n">
        <f aca="false">Inputs!$B$57</f>
        <v>200</v>
      </c>
      <c r="E41" s="22" t="n">
        <f aca="false">Inputs!$B$57</f>
        <v>200</v>
      </c>
      <c r="F41" s="22" t="n">
        <f aca="false">Inputs!$B$57</f>
        <v>200</v>
      </c>
      <c r="G41" s="22" t="n">
        <f aca="false">Inputs!$B$57</f>
        <v>200</v>
      </c>
      <c r="H41" s="22" t="n">
        <f aca="false">Inputs!$B$57</f>
        <v>200</v>
      </c>
      <c r="I41" s="22" t="n">
        <f aca="false">Inputs!$B$57</f>
        <v>200</v>
      </c>
      <c r="J41" s="22" t="n">
        <f aca="false">Inputs!$B$57</f>
        <v>200</v>
      </c>
      <c r="K41" s="22" t="n">
        <f aca="false">Inputs!$B$57</f>
        <v>200</v>
      </c>
    </row>
    <row r="42" customFormat="false" ht="15" hidden="false" customHeight="false" outlineLevel="0" collapsed="false">
      <c r="A42" s="10" t="s">
        <v>113</v>
      </c>
      <c r="B42" s="22" t="n">
        <f aca="false">Inputs!$B$58</f>
        <v>250</v>
      </c>
      <c r="C42" s="22" t="n">
        <f aca="false">Inputs!$B$58</f>
        <v>250</v>
      </c>
      <c r="D42" s="22" t="n">
        <f aca="false">Inputs!$B$58</f>
        <v>250</v>
      </c>
      <c r="E42" s="22" t="n">
        <f aca="false">Inputs!$B$58</f>
        <v>250</v>
      </c>
      <c r="F42" s="22" t="n">
        <f aca="false">Inputs!$B$58</f>
        <v>250</v>
      </c>
      <c r="G42" s="22" t="n">
        <f aca="false">Inputs!$B$58</f>
        <v>250</v>
      </c>
      <c r="H42" s="22" t="n">
        <f aca="false">Inputs!$B$58</f>
        <v>250</v>
      </c>
      <c r="I42" s="22" t="n">
        <f aca="false">Inputs!$B$58</f>
        <v>250</v>
      </c>
      <c r="J42" s="22" t="n">
        <f aca="false">Inputs!$B$58</f>
        <v>250</v>
      </c>
      <c r="K42" s="22" t="n">
        <f aca="false">Inputs!$B$58</f>
        <v>250</v>
      </c>
    </row>
    <row r="43" customFormat="false" ht="15" hidden="false" customHeight="false" outlineLevel="0" collapsed="false">
      <c r="A43" s="15" t="s">
        <v>114</v>
      </c>
      <c r="B43" s="23" t="n">
        <f aca="false">B41+B42</f>
        <v>450</v>
      </c>
      <c r="C43" s="23" t="n">
        <f aca="false">C41+C42</f>
        <v>450</v>
      </c>
      <c r="D43" s="23" t="n">
        <f aca="false">D41+D42</f>
        <v>450</v>
      </c>
      <c r="E43" s="23" t="n">
        <f aca="false">E41+E42</f>
        <v>450</v>
      </c>
      <c r="F43" s="23" t="n">
        <f aca="false">F41+F42</f>
        <v>450</v>
      </c>
      <c r="G43" s="23" t="n">
        <f aca="false">G41+G42</f>
        <v>450</v>
      </c>
      <c r="H43" s="23" t="n">
        <f aca="false">H41+H42</f>
        <v>450</v>
      </c>
      <c r="I43" s="23" t="n">
        <f aca="false">I41+I42</f>
        <v>450</v>
      </c>
      <c r="J43" s="23" t="n">
        <f aca="false">J41+J42</f>
        <v>450</v>
      </c>
      <c r="K43" s="23" t="n">
        <f aca="false">K41+K42</f>
        <v>450</v>
      </c>
    </row>
  </sheetData>
  <mergeCells count="1">
    <mergeCell ref="A2:K2"/>
  </mergeCells>
  <conditionalFormatting sqref="B32:K32">
    <cfRule type="expression" priority="2" aboveAverage="0" equalAverage="0" bottom="0" percent="0" rank="0" text="" dxfId="0">
      <formula>OR(LEFT(B32,7)="MISSING",LEFT(B32,9)="NO FABRIC")</formula>
    </cfRule>
  </conditionalFormatting>
  <dataValidations count="2">
    <dataValidation allowBlank="false" errorStyle="stop" operator="between" showDropDown="false" showErrorMessage="false" showInputMessage="false" sqref="B4:K4" type="list">
      <formula1>Inputs!$A$22:$A$37</formula1>
      <formula2>0</formula2>
    </dataValidation>
    <dataValidation allowBlank="true" errorStyle="stop" operator="between" showDropDown="false" showErrorMessage="false" showInputMessage="false" sqref="B5:K5" type="list">
      <formula1>Inputs!$A$43:$A$48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9"/>
  </cols>
  <sheetData>
    <row r="1" customFormat="false" ht="17.35" hidden="false" customHeight="false" outlineLevel="0" collapsed="false">
      <c r="A1" s="1" t="s">
        <v>117</v>
      </c>
    </row>
    <row r="2" customFormat="false" ht="27.75" hidden="false" customHeight="true" outlineLevel="0" collapsed="false">
      <c r="A2" s="2" t="s">
        <v>83</v>
      </c>
      <c r="B2" s="2"/>
      <c r="C2" s="2"/>
      <c r="D2" s="2"/>
      <c r="E2" s="2"/>
      <c r="F2" s="2"/>
      <c r="G2" s="2"/>
    </row>
    <row r="4" customFormat="false" ht="30" hidden="false" customHeight="true" outlineLevel="0" collapsed="false">
      <c r="A4" s="15" t="s">
        <v>20</v>
      </c>
      <c r="B4" s="17" t="s">
        <v>55</v>
      </c>
      <c r="C4" s="17" t="s">
        <v>57</v>
      </c>
    </row>
    <row r="5" customFormat="false" ht="30" hidden="false" customHeight="true" outlineLevel="0" collapsed="false">
      <c r="A5" s="15" t="s">
        <v>61</v>
      </c>
      <c r="B5" s="17"/>
      <c r="C5" s="17"/>
    </row>
    <row r="6" customFormat="false" ht="15" hidden="false" customHeight="false" outlineLevel="0" collapsed="false">
      <c r="A6" s="18" t="s">
        <v>84</v>
      </c>
      <c r="B6" s="19"/>
      <c r="C6" s="19"/>
    </row>
    <row r="7" customFormat="false" ht="30" hidden="false" customHeight="true" outlineLevel="0" collapsed="false">
      <c r="A7" s="10" t="s">
        <v>22</v>
      </c>
      <c r="B7" s="20" t="str">
        <f aca="false">IF(INDEX(Inputs!$C$22:$C$37,MATCH(B$4,Inputs!$A$22:$A$37,0))="","",INDEX(Inputs!$C$22:$C$37,MATCH(B$4,Inputs!$A$22:$A$37,0)))</f>
        <v>Nylon</v>
      </c>
      <c r="C7" s="20" t="str">
        <f aca="false">IF(INDEX(Inputs!$C$22:$C$37,MATCH(C$4,Inputs!$A$22:$A$37,0))="","",INDEX(Inputs!$C$22:$C$37,MATCH(C$4,Inputs!$A$22:$A$37,0)))</f>
        <v>Nylon</v>
      </c>
    </row>
    <row r="8" customFormat="false" ht="15" hidden="false" customHeight="false" outlineLevel="0" collapsed="false">
      <c r="A8" s="10" t="s">
        <v>85</v>
      </c>
      <c r="B8" s="21" t="n">
        <f aca="false">INDEX(Inputs!$D$22:$D$37,MATCH(B$4,Inputs!$A$22:$A$37,0))</f>
        <v>1.63</v>
      </c>
      <c r="C8" s="21" t="n">
        <f aca="false">INDEX(Inputs!$D$22:$D$37,MATCH(C$4,Inputs!$A$22:$A$37,0))</f>
        <v>1.4</v>
      </c>
    </row>
    <row r="9" customFormat="false" ht="15" hidden="false" customHeight="false" outlineLevel="0" collapsed="false">
      <c r="A9" s="10" t="s">
        <v>86</v>
      </c>
      <c r="B9" s="22" t="n">
        <f aca="false">IF(B7="",0,INDEX(Inputs!$B$6:$B$13,MATCH(B7,Inputs!$A$6:$A$13,0)))</f>
        <v>0</v>
      </c>
      <c r="C9" s="22" t="n">
        <f aca="false">IF(C7="",0,INDEX(Inputs!$B$6:$B$13,MATCH(C7,Inputs!$A$6:$A$13,0)))</f>
        <v>0</v>
      </c>
    </row>
    <row r="10" customFormat="false" ht="15" hidden="false" customHeight="false" outlineLevel="0" collapsed="false">
      <c r="A10" s="15" t="s">
        <v>87</v>
      </c>
      <c r="B10" s="23" t="n">
        <f aca="false">B8*B9</f>
        <v>0</v>
      </c>
      <c r="C10" s="23" t="n">
        <f aca="false">C8*C9</f>
        <v>0</v>
      </c>
    </row>
    <row r="11" customFormat="false" ht="15" hidden="false" customHeight="false" outlineLevel="0" collapsed="false">
      <c r="A11" s="18" t="s">
        <v>88</v>
      </c>
      <c r="B11" s="19"/>
      <c r="C11" s="19"/>
    </row>
    <row r="12" customFormat="false" ht="15" hidden="false" customHeight="false" outlineLevel="0" collapsed="false">
      <c r="A12" s="10" t="s">
        <v>24</v>
      </c>
      <c r="B12" s="20" t="str">
        <f aca="false">IF(INDEX(Inputs!$E$22:$E$37,MATCH(B$4,Inputs!$A$22:$A$37,0))="","",INDEX(Inputs!$E$22:$E$37,MATCH(B$4,Inputs!$A$22:$A$37,0)))</f>
        <v/>
      </c>
      <c r="C12" s="20" t="str">
        <f aca="false">IF(INDEX(Inputs!$E$22:$E$37,MATCH(C$4,Inputs!$A$22:$A$37,0))="","",INDEX(Inputs!$E$22:$E$37,MATCH(C$4,Inputs!$A$22:$A$37,0)))</f>
        <v/>
      </c>
    </row>
    <row r="13" customFormat="false" ht="15" hidden="false" customHeight="false" outlineLevel="0" collapsed="false">
      <c r="A13" s="10" t="s">
        <v>89</v>
      </c>
      <c r="B13" s="21" t="n">
        <f aca="false">INDEX(Inputs!$F$22:$F$37,MATCH(B$4,Inputs!$A$22:$A$37,0))</f>
        <v>0</v>
      </c>
      <c r="C13" s="21" t="n">
        <f aca="false">INDEX(Inputs!$F$22:$F$37,MATCH(C$4,Inputs!$A$22:$A$37,0))</f>
        <v>0</v>
      </c>
    </row>
    <row r="14" customFormat="false" ht="15" hidden="false" customHeight="false" outlineLevel="0" collapsed="false">
      <c r="A14" s="10" t="s">
        <v>90</v>
      </c>
      <c r="B14" s="22" t="n">
        <f aca="false">IF(B12="",0,INDEX(Inputs!$B$6:$B$13,MATCH(B12,Inputs!$A$6:$A$13,0)))</f>
        <v>0</v>
      </c>
      <c r="C14" s="22" t="n">
        <f aca="false">IF(C12="",0,INDEX(Inputs!$B$6:$B$13,MATCH(C12,Inputs!$A$6:$A$13,0)))</f>
        <v>0</v>
      </c>
    </row>
    <row r="15" customFormat="false" ht="15" hidden="false" customHeight="false" outlineLevel="0" collapsed="false">
      <c r="A15" s="15" t="s">
        <v>91</v>
      </c>
      <c r="B15" s="23" t="n">
        <f aca="false">B13*B14</f>
        <v>0</v>
      </c>
      <c r="C15" s="23" t="n">
        <f aca="false">C13*C14</f>
        <v>0</v>
      </c>
    </row>
    <row r="16" customFormat="false" ht="15" hidden="false" customHeight="false" outlineLevel="0" collapsed="false">
      <c r="A16" s="18" t="s">
        <v>92</v>
      </c>
      <c r="B16" s="19"/>
      <c r="C16" s="19"/>
    </row>
    <row r="17" customFormat="false" ht="15" hidden="false" customHeight="false" outlineLevel="0" collapsed="false">
      <c r="A17" s="10" t="s">
        <v>93</v>
      </c>
      <c r="B17" s="21" t="n">
        <f aca="false">INDEX(Inputs!$G$22:$G$37,MATCH(B$4,Inputs!$A$22:$A$37,0))</f>
        <v>0</v>
      </c>
      <c r="C17" s="21" t="n">
        <f aca="false">INDEX(Inputs!$G$22:$G$37,MATCH(C$4,Inputs!$A$22:$A$37,0))</f>
        <v>0</v>
      </c>
    </row>
    <row r="18" customFormat="false" ht="15" hidden="false" customHeight="false" outlineLevel="0" collapsed="false">
      <c r="A18" s="10" t="s">
        <v>94</v>
      </c>
      <c r="B18" s="22" t="n">
        <f aca="false">Inputs!$B$17</f>
        <v>0.55</v>
      </c>
      <c r="C18" s="22" t="n">
        <f aca="false">Inputs!$B$17</f>
        <v>0.55</v>
      </c>
    </row>
    <row r="19" customFormat="false" ht="15" hidden="false" customHeight="false" outlineLevel="0" collapsed="false">
      <c r="A19" s="15" t="s">
        <v>95</v>
      </c>
      <c r="B19" s="23" t="n">
        <f aca="false">B17*B18</f>
        <v>0</v>
      </c>
      <c r="C19" s="23" t="n">
        <f aca="false">C17*C18</f>
        <v>0</v>
      </c>
    </row>
    <row r="20" customFormat="false" ht="15" hidden="false" customHeight="false" outlineLevel="0" collapsed="false">
      <c r="A20" s="10" t="s">
        <v>96</v>
      </c>
      <c r="B20" s="21" t="n">
        <f aca="false">INDEX(Inputs!$H$22:$H$37,MATCH(B$4,Inputs!$A$22:$A$37,0))</f>
        <v>0</v>
      </c>
      <c r="C20" s="21" t="n">
        <f aca="false">INDEX(Inputs!$H$22:$H$37,MATCH(C$4,Inputs!$A$22:$A$37,0))</f>
        <v>1.5</v>
      </c>
    </row>
    <row r="21" customFormat="false" ht="15" hidden="false" customHeight="false" outlineLevel="0" collapsed="false">
      <c r="A21" s="10" t="s">
        <v>97</v>
      </c>
      <c r="B21" s="22" t="n">
        <f aca="false">Inputs!$B$18</f>
        <v>1</v>
      </c>
      <c r="C21" s="22" t="n">
        <f aca="false">Inputs!$B$18</f>
        <v>1</v>
      </c>
    </row>
    <row r="22" customFormat="false" ht="15" hidden="false" customHeight="false" outlineLevel="0" collapsed="false">
      <c r="A22" s="15" t="s">
        <v>98</v>
      </c>
      <c r="B22" s="23" t="n">
        <f aca="false">B20*B21</f>
        <v>0</v>
      </c>
      <c r="C22" s="23" t="n">
        <f aca="false">C20*C21</f>
        <v>1.5</v>
      </c>
    </row>
    <row r="23" customFormat="false" ht="15" hidden="false" customHeight="false" outlineLevel="0" collapsed="false">
      <c r="A23" s="18" t="s">
        <v>99</v>
      </c>
      <c r="B23" s="19"/>
      <c r="C23" s="19"/>
    </row>
    <row r="24" customFormat="false" ht="15" hidden="false" customHeight="false" outlineLevel="0" collapsed="false">
      <c r="A24" s="10" t="s">
        <v>100</v>
      </c>
      <c r="B24" s="22" t="n">
        <f aca="false">IF(B5="",0,INDEX(Inputs!$B$43:$E$48,MATCH(B5,Inputs!$A$43:$A$48,0),MATCH(INDEX(Inputs!$B$22:$B$37,MATCH(B$4,Inputs!$A$22:$A$37,0)),Inputs!$B$42:$E$42,0)))</f>
        <v>0</v>
      </c>
      <c r="C24" s="22" t="n">
        <f aca="false">IF(C5="",0,INDEX(Inputs!$B$43:$E$48,MATCH(C5,Inputs!$A$43:$A$48,0),MATCH(INDEX(Inputs!$B$22:$B$37,MATCH(C$4,Inputs!$A$22:$A$37,0)),Inputs!$B$42:$E$42,0)))</f>
        <v>0</v>
      </c>
    </row>
    <row r="25" customFormat="false" ht="15" hidden="false" customHeight="false" outlineLevel="0" collapsed="false">
      <c r="A25" s="10" t="s">
        <v>101</v>
      </c>
      <c r="B25" s="22" t="n">
        <f aca="false">INDEX(Inputs!$K$22:$K$37,MATCH(B$4,Inputs!$A$22:$A$37,0))</f>
        <v>0</v>
      </c>
      <c r="C25" s="22" t="n">
        <f aca="false">INDEX(Inputs!$K$22:$K$37,MATCH(C$4,Inputs!$A$22:$A$37,0))</f>
        <v>0</v>
      </c>
    </row>
    <row r="26" customFormat="false" ht="15" hidden="false" customHeight="false" outlineLevel="0" collapsed="false">
      <c r="A26" s="10" t="s">
        <v>102</v>
      </c>
      <c r="B26" s="22" t="n">
        <f aca="false">INDEX(Inputs!$J$22:$J$37,MATCH(B$4,Inputs!$A$22:$A$37,0))</f>
        <v>3.65</v>
      </c>
      <c r="C26" s="22" t="n">
        <f aca="false">INDEX(Inputs!$J$22:$J$37,MATCH(C$4,Inputs!$A$22:$A$37,0))</f>
        <v>2</v>
      </c>
    </row>
    <row r="27" customFormat="false" ht="15" hidden="false" customHeight="false" outlineLevel="0" collapsed="false">
      <c r="A27" s="10" t="s">
        <v>103</v>
      </c>
      <c r="B27" s="22" t="n">
        <f aca="false">INDEX(Inputs!$I$22:$I$37,MATCH(B$4,Inputs!$A$22:$A$37,0))</f>
        <v>60</v>
      </c>
      <c r="C27" s="22" t="n">
        <f aca="false">INDEX(Inputs!$I$22:$I$37,MATCH(C$4,Inputs!$A$22:$A$37,0))</f>
        <v>20</v>
      </c>
    </row>
    <row r="28" customFormat="false" ht="15" hidden="false" customHeight="false" outlineLevel="0" collapsed="false">
      <c r="A28" s="10" t="s">
        <v>104</v>
      </c>
      <c r="B28" s="22" t="n">
        <f aca="false">INDEX(Inputs!$M$22:$M$37,MATCH(B$4,Inputs!$A$22:$A$37,0))</f>
        <v>3.9</v>
      </c>
      <c r="C28" s="22" t="n">
        <f aca="false">INDEX(Inputs!$M$22:$M$37,MATCH(C$4,Inputs!$A$22:$A$37,0))</f>
        <v>0</v>
      </c>
    </row>
    <row r="29" customFormat="false" ht="15" hidden="false" customHeight="false" outlineLevel="0" collapsed="false">
      <c r="A29" s="10" t="s">
        <v>105</v>
      </c>
      <c r="B29" s="22" t="n">
        <f aca="false">INDEX(Inputs!$L$22:$L$37,MATCH(B$4,Inputs!$A$22:$A$37,0))</f>
        <v>3.5</v>
      </c>
      <c r="C29" s="22" t="n">
        <f aca="false">INDEX(Inputs!$L$22:$L$37,MATCH(C$4,Inputs!$A$22:$A$37,0))</f>
        <v>3.5</v>
      </c>
    </row>
    <row r="31" customFormat="false" ht="21.75" hidden="false" customHeight="true" outlineLevel="0" collapsed="false">
      <c r="A31" s="24" t="s">
        <v>106</v>
      </c>
      <c r="B31" s="25" t="n">
        <f aca="false">B10+B15+B19+B22+B24+B25+B26+B27+B28+B29</f>
        <v>71.05</v>
      </c>
      <c r="C31" s="25" t="n">
        <f aca="false">C10+C15+C19+C22+C24+C25+C26+C27+C28+C29</f>
        <v>27</v>
      </c>
    </row>
    <row r="32" customFormat="false" ht="30" hidden="false" customHeight="true" outlineLevel="0" collapsed="false">
      <c r="A32" s="10" t="s">
        <v>107</v>
      </c>
      <c r="B32" s="26" t="str">
        <f aca="false">IF(B7="","NO FABRIC SET — total excludes fabric",IF(B8=0,"MISSING YIELD — fabric not in total",IF(B9=0,"MISSING FABRIC PRICE — fabric not in total",IF(AND(B12&lt;&gt;"",B13=0),"MISSING RIB YIELD — rib not in total","Complete"))))</f>
        <v>MISSING FABRIC PRICE — fabric not in total</v>
      </c>
      <c r="C32" s="26" t="str">
        <f aca="false">IF(C7="","NO FABRIC SET — total excludes fabric",IF(C8=0,"MISSING YIELD — fabric not in total",IF(C9=0,"MISSING FABRIC PRICE — fabric not in total",IF(AND(C12&lt;&gt;"",C13=0),"MISSING RIB YIELD — rib not in total","Complete"))))</f>
        <v>MISSING FABRIC PRICE — fabric not in total</v>
      </c>
    </row>
    <row r="33" customFormat="false" ht="15" hidden="false" customHeight="false" outlineLevel="0" collapsed="false">
      <c r="A33" s="18" t="s">
        <v>67</v>
      </c>
      <c r="B33" s="19"/>
      <c r="C33" s="19"/>
    </row>
    <row r="34" customFormat="false" ht="15" hidden="false" customHeight="false" outlineLevel="0" collapsed="false">
      <c r="A34" s="10" t="s">
        <v>70</v>
      </c>
      <c r="B34" s="27" t="n">
        <f aca="false">Inputs!$B$52</f>
        <v>0.2</v>
      </c>
      <c r="C34" s="27" t="n">
        <f aca="false">Inputs!$B$52</f>
        <v>0.2</v>
      </c>
    </row>
    <row r="35" customFormat="false" ht="15" hidden="false" customHeight="false" outlineLevel="0" collapsed="false">
      <c r="A35" s="10" t="s">
        <v>108</v>
      </c>
      <c r="B35" s="28" t="n">
        <f aca="false">B31*B34</f>
        <v>14.21</v>
      </c>
      <c r="C35" s="28" t="n">
        <f aca="false">C31*C34</f>
        <v>5.4</v>
      </c>
    </row>
    <row r="36" customFormat="false" ht="21.75" hidden="false" customHeight="true" outlineLevel="0" collapsed="false">
      <c r="A36" s="24" t="s">
        <v>109</v>
      </c>
      <c r="B36" s="25" t="n">
        <f aca="false">B31+B35</f>
        <v>85.26</v>
      </c>
      <c r="C36" s="25" t="n">
        <f aca="false">C31+C35</f>
        <v>32.4</v>
      </c>
    </row>
    <row r="37" customFormat="false" ht="15" hidden="false" customHeight="false" outlineLevel="0" collapsed="false">
      <c r="A37" s="10" t="s">
        <v>72</v>
      </c>
      <c r="B37" s="29" t="n">
        <f aca="false">Inputs!$B$53</f>
        <v>2.5</v>
      </c>
      <c r="C37" s="29" t="n">
        <f aca="false">Inputs!$B$53</f>
        <v>2.5</v>
      </c>
    </row>
    <row r="38" customFormat="false" ht="21.75" hidden="false" customHeight="true" outlineLevel="0" collapsed="false">
      <c r="A38" s="24" t="s">
        <v>110</v>
      </c>
      <c r="B38" s="25" t="n">
        <f aca="false">B36*B37</f>
        <v>213.15</v>
      </c>
      <c r="C38" s="25" t="n">
        <f aca="false">C36*C37</f>
        <v>81</v>
      </c>
    </row>
    <row r="40" customFormat="false" ht="15" hidden="false" customHeight="false" outlineLevel="0" collapsed="false">
      <c r="A40" s="18" t="s">
        <v>111</v>
      </c>
      <c r="B40" s="19"/>
      <c r="C40" s="19"/>
    </row>
    <row r="41" customFormat="false" ht="15" hidden="false" customHeight="false" outlineLevel="0" collapsed="false">
      <c r="A41" s="10" t="s">
        <v>112</v>
      </c>
      <c r="B41" s="22" t="n">
        <f aca="false">Inputs!$B$57</f>
        <v>200</v>
      </c>
      <c r="C41" s="22" t="n">
        <f aca="false">Inputs!$B$57</f>
        <v>200</v>
      </c>
    </row>
    <row r="42" customFormat="false" ht="15" hidden="false" customHeight="false" outlineLevel="0" collapsed="false">
      <c r="A42" s="10" t="s">
        <v>113</v>
      </c>
      <c r="B42" s="22" t="n">
        <f aca="false">Inputs!$B$58</f>
        <v>250</v>
      </c>
      <c r="C42" s="22" t="n">
        <f aca="false">Inputs!$B$58</f>
        <v>250</v>
      </c>
    </row>
    <row r="43" customFormat="false" ht="15" hidden="false" customHeight="false" outlineLevel="0" collapsed="false">
      <c r="A43" s="15" t="s">
        <v>114</v>
      </c>
      <c r="B43" s="23" t="n">
        <f aca="false">B41+B42</f>
        <v>450</v>
      </c>
      <c r="C43" s="23" t="n">
        <f aca="false">C41+C42</f>
        <v>450</v>
      </c>
    </row>
  </sheetData>
  <mergeCells count="1">
    <mergeCell ref="A2:G2"/>
  </mergeCells>
  <conditionalFormatting sqref="B32:C32">
    <cfRule type="expression" priority="2" aboveAverage="0" equalAverage="0" bottom="0" percent="0" rank="0" text="" dxfId="0">
      <formula>OR(LEFT(B32,7)="MISSING",LEFT(B32,9)="NO FABRIC")</formula>
    </cfRule>
  </conditionalFormatting>
  <dataValidations count="2">
    <dataValidation allowBlank="false" errorStyle="stop" operator="between" showDropDown="false" showErrorMessage="false" showInputMessage="false" sqref="B4:C4" type="list">
      <formula1>Inputs!$A$22:$A$37</formula1>
      <formula2>0</formula2>
    </dataValidation>
    <dataValidation allowBlank="true" errorStyle="stop" operator="between" showDropDown="false" showErrorMessage="false" showInputMessage="false" sqref="B5:C5" type="list">
      <formula1>Inputs!$A$43:$A$48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2026-10-01T14:22:05Z</dcterms:created>
  <dc:creator>openpyxl</dc:creator>
  <dc:description/>
  <dc:language>en-US</dc:language>
  <cp:lastModifiedBy/>
  <dcterms:modified xsi:type="dcterms:W3CDTF">2026-10-01T14:22:05Z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